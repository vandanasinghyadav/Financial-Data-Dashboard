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ml.chartsha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Vandana\"/>
    </mc:Choice>
  </mc:AlternateContent>
  <xr:revisionPtr revIDLastSave="0" documentId="13_ncr:1_{596252FD-5AD9-4520-8DD0-D49D5AB36220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Dashboard" sheetId="2" r:id="rId1"/>
    <sheet name="FY" sheetId="3" r:id="rId2"/>
    <sheet name="Ratios" sheetId="6" r:id="rId3"/>
    <sheet name="Sheet1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3" l="1"/>
  <c r="E5" i="3"/>
  <c r="D8" i="3"/>
  <c r="D7" i="3"/>
  <c r="C7" i="3"/>
  <c r="B7" i="3"/>
  <c r="B8" i="3" s="1"/>
  <c r="D6" i="3"/>
  <c r="C6" i="3"/>
  <c r="B6" i="3"/>
  <c r="D5" i="3"/>
  <c r="B5" i="3"/>
  <c r="D4" i="3"/>
  <c r="C4" i="3"/>
  <c r="C5" i="3" s="1"/>
  <c r="B4" i="3"/>
  <c r="D3" i="3"/>
  <c r="C3" i="3"/>
  <c r="B3" i="3"/>
  <c r="D2" i="3"/>
  <c r="C2" i="3"/>
  <c r="C8" i="3" s="1"/>
  <c r="B2" i="3"/>
  <c r="E5" i="6"/>
  <c r="F12" i="6"/>
  <c r="F11" i="6"/>
  <c r="F10" i="6"/>
  <c r="F9" i="6"/>
  <c r="F8" i="6"/>
  <c r="F5" i="6"/>
  <c r="F6" i="6"/>
  <c r="F7" i="6"/>
  <c r="F3" i="6"/>
  <c r="E12" i="6"/>
  <c r="E11" i="6"/>
  <c r="E10" i="6"/>
  <c r="E9" i="6"/>
  <c r="E8" i="6"/>
  <c r="E7" i="6"/>
  <c r="E6" i="6"/>
  <c r="E4" i="6"/>
  <c r="E3" i="6"/>
  <c r="F4" i="6"/>
</calcChain>
</file>

<file path=xl/sharedStrings.xml><?xml version="1.0" encoding="utf-8"?>
<sst xmlns="http://schemas.openxmlformats.org/spreadsheetml/2006/main" count="35" uniqueCount="31">
  <si>
    <t>Revenue</t>
  </si>
  <si>
    <t>EBITA</t>
  </si>
  <si>
    <t>Total TAX</t>
  </si>
  <si>
    <t>Net Income</t>
  </si>
  <si>
    <t>Particulars/ Years</t>
  </si>
  <si>
    <t>EBITA %</t>
  </si>
  <si>
    <t>Net Income %</t>
  </si>
  <si>
    <t>Current Ratio</t>
  </si>
  <si>
    <t>Debt Equity Ratio</t>
  </si>
  <si>
    <t>Debt Service Coverage Ratio</t>
  </si>
  <si>
    <t>Particulars</t>
  </si>
  <si>
    <t>Return On Equity Ratio</t>
  </si>
  <si>
    <t>Inventory Turnover Ratio</t>
  </si>
  <si>
    <t>Trade Payable Turnover Ratio</t>
  </si>
  <si>
    <t>Net Profit Ratio</t>
  </si>
  <si>
    <t>Return on Capital Employed</t>
  </si>
  <si>
    <t>Return on Investment</t>
  </si>
  <si>
    <t>Net Capital Turnover Ratio</t>
  </si>
  <si>
    <t>Trade Receivable Turnover Ratio</t>
  </si>
  <si>
    <t>2024-25</t>
  </si>
  <si>
    <t>2023-24</t>
  </si>
  <si>
    <t>2022-23</t>
  </si>
  <si>
    <t>NA</t>
  </si>
  <si>
    <t>Change-1</t>
  </si>
  <si>
    <t>Change-2</t>
  </si>
  <si>
    <t>Expenses</t>
  </si>
  <si>
    <t xml:space="preserve">     FINANCIAL PERFORMANCE  OVERVIEW</t>
  </si>
  <si>
    <t>FY 22-23</t>
  </si>
  <si>
    <t xml:space="preserve">FY 23-24 </t>
  </si>
  <si>
    <t>FY 24-25</t>
  </si>
  <si>
    <t>FY 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</si>
</sst>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36"/>
      <color theme="0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rgb="FF2037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3" borderId="0" xfId="0" applyFill="1"/>
    <xf numFmtId="0" fontId="3" fillId="3" borderId="0" xfId="0" applyFont="1" applyFill="1"/>
    <xf numFmtId="0" fontId="4" fillId="3" borderId="5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65" fontId="4" fillId="3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9" fontId="8" fillId="5" borderId="1" xfId="1" applyFont="1" applyFill="1" applyBorder="1" applyAlignment="1">
      <alignment horizontal="center"/>
    </xf>
    <xf numFmtId="0" fontId="8" fillId="5" borderId="1" xfId="0" applyFont="1" applyFill="1" applyBorder="1" applyAlignment="1">
      <alignment horizontal="left"/>
    </xf>
    <xf numFmtId="0" fontId="7" fillId="4" borderId="3" xfId="0" applyFont="1" applyFill="1" applyBorder="1" applyAlignment="1">
      <alignment horizontal="center"/>
    </xf>
    <xf numFmtId="3" fontId="7" fillId="4" borderId="5" xfId="0" applyNumberFormat="1" applyFont="1" applyFill="1" applyBorder="1" applyAlignment="1">
      <alignment horizontal="center"/>
    </xf>
    <xf numFmtId="164" fontId="7" fillId="4" borderId="5" xfId="0" applyNumberFormat="1" applyFont="1" applyFill="1" applyBorder="1" applyAlignment="1">
      <alignment horizontal="center"/>
    </xf>
    <xf numFmtId="0" fontId="7" fillId="4" borderId="0" xfId="0" applyFont="1" applyFill="1"/>
    <xf numFmtId="0" fontId="6" fillId="2" borderId="0" xfId="0" applyFont="1" applyFill="1" applyAlignment="1">
      <alignment horizontal="center" vertical="center"/>
    </xf>
    <xf numFmtId="0" fontId="9" fillId="4" borderId="2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5"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7030A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Ratios!$A$3</c:f>
              <c:strCache>
                <c:ptCount val="1"/>
                <c:pt idx="0">
                  <c:v>Current 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2700" cap="rnd">
                <a:solidFill>
                  <a:schemeClr val="accent2"/>
                </a:solidFill>
                <a:prstDash val="solid"/>
              </a:ln>
              <a:effectLst/>
            </c:spPr>
            <c:trendlineType val="poly"/>
            <c:order val="2"/>
            <c:dispRSqr val="0"/>
            <c:dispEq val="0"/>
          </c:trendline>
          <c:cat>
            <c:strRef>
              <c:f>Ratios!$B$1:$D$2</c:f>
              <c:strCache>
                <c:ptCount val="3"/>
                <c:pt idx="0">
                  <c:v>2022-23</c:v>
                </c:pt>
                <c:pt idx="1">
                  <c:v>2023-24</c:v>
                </c:pt>
                <c:pt idx="2">
                  <c:v>2024-25</c:v>
                </c:pt>
              </c:strCache>
            </c:strRef>
          </c:cat>
          <c:val>
            <c:numRef>
              <c:f>Ratios!$B$3:$D$3</c:f>
              <c:numCache>
                <c:formatCode>General</c:formatCode>
                <c:ptCount val="3"/>
                <c:pt idx="0">
                  <c:v>1.27</c:v>
                </c:pt>
                <c:pt idx="1">
                  <c:v>0.92</c:v>
                </c:pt>
                <c:pt idx="2">
                  <c:v>1.18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55-4595-9FCD-041217BB742F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89779568"/>
        <c:axId val="689768528"/>
      </c:barChart>
      <c:catAx>
        <c:axId val="68977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68528"/>
        <c:crosses val="autoZero"/>
        <c:auto val="1"/>
        <c:lblAlgn val="ctr"/>
        <c:lblOffset val="100"/>
        <c:noMultiLvlLbl val="0"/>
      </c:catAx>
      <c:valAx>
        <c:axId val="689768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79568"/>
        <c:crosses val="autoZero"/>
        <c:crossBetween val="between"/>
      </c:valAx>
      <c:spPr>
        <a:noFill/>
        <a:ln>
          <a:noFill/>
          <a:prstDash val="solid"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Ratios!$A$4</c:f>
              <c:strCache>
                <c:ptCount val="1"/>
                <c:pt idx="0">
                  <c:v>Debt Equity 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poly"/>
            <c:order val="2"/>
            <c:dispRSqr val="0"/>
            <c:dispEq val="0"/>
          </c:trendline>
          <c:cat>
            <c:strRef>
              <c:f>Ratios!$B$1:$D$2</c:f>
              <c:strCache>
                <c:ptCount val="3"/>
                <c:pt idx="0">
                  <c:v>2022-23</c:v>
                </c:pt>
                <c:pt idx="1">
                  <c:v>2023-24</c:v>
                </c:pt>
                <c:pt idx="2">
                  <c:v>2024-25</c:v>
                </c:pt>
              </c:strCache>
            </c:strRef>
          </c:cat>
          <c:val>
            <c:numRef>
              <c:f>Ratios!$B$4:$D$4</c:f>
              <c:numCache>
                <c:formatCode>General</c:formatCode>
                <c:ptCount val="3"/>
                <c:pt idx="0">
                  <c:v>0.04</c:v>
                </c:pt>
                <c:pt idx="1">
                  <c:v>0.01</c:v>
                </c:pt>
                <c:pt idx="2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64-4C21-BF3B-DC2D3ED5B25C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89805968"/>
        <c:axId val="689791088"/>
      </c:barChart>
      <c:catAx>
        <c:axId val="68980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91088"/>
        <c:crosses val="autoZero"/>
        <c:auto val="1"/>
        <c:lblAlgn val="ctr"/>
        <c:lblOffset val="100"/>
        <c:noMultiLvlLbl val="0"/>
      </c:catAx>
      <c:valAx>
        <c:axId val="689791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805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Ratios!$A$5</c:f>
              <c:strCache>
                <c:ptCount val="1"/>
                <c:pt idx="0">
                  <c:v>Debt Service Coverage 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8.7145969498910684E-3"/>
                  <c:y val="-5.546376878328812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FA9-45CA-A46C-0A447A32C9E8}"/>
                </c:ext>
              </c:extLst>
            </c:dLbl>
            <c:dLbl>
              <c:idx val="2"/>
              <c:layout>
                <c:manualLayout>
                  <c:x val="-2.1786492374727671E-3"/>
                  <c:y val="-4.057006032140719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FA9-45CA-A46C-0A447A32C9E8}"/>
                </c:ext>
              </c:extLst>
            </c:dLbl>
            <c:spPr>
              <a:solidFill>
                <a:srgbClr val="0070C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poly"/>
            <c:order val="2"/>
            <c:dispRSqr val="0"/>
            <c:dispEq val="0"/>
          </c:trendline>
          <c:cat>
            <c:strRef>
              <c:f>Ratios!$B$1:$D$2</c:f>
              <c:strCache>
                <c:ptCount val="3"/>
                <c:pt idx="0">
                  <c:v>2022-23</c:v>
                </c:pt>
                <c:pt idx="1">
                  <c:v>2023-24</c:v>
                </c:pt>
                <c:pt idx="2">
                  <c:v>2024-25</c:v>
                </c:pt>
              </c:strCache>
            </c:strRef>
          </c:cat>
          <c:val>
            <c:numRef>
              <c:f>Ratios!$B$5:$D$5</c:f>
              <c:numCache>
                <c:formatCode>General</c:formatCode>
                <c:ptCount val="3"/>
                <c:pt idx="0" formatCode="0.0">
                  <c:v>178.64</c:v>
                </c:pt>
                <c:pt idx="1">
                  <c:v>15.06</c:v>
                </c:pt>
                <c:pt idx="2">
                  <c:v>12.49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A9-45CA-A46C-0A447A32C9E8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89769968"/>
        <c:axId val="689756048"/>
      </c:barChart>
      <c:catAx>
        <c:axId val="68976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56048"/>
        <c:crosses val="autoZero"/>
        <c:auto val="1"/>
        <c:lblAlgn val="ctr"/>
        <c:lblOffset val="100"/>
        <c:noMultiLvlLbl val="0"/>
      </c:catAx>
      <c:valAx>
        <c:axId val="689756048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69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Ratios!$A$6</c:f>
              <c:strCache>
                <c:ptCount val="1"/>
                <c:pt idx="0">
                  <c:v>Return On Equity 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poly"/>
            <c:order val="2"/>
            <c:dispRSqr val="0"/>
            <c:dispEq val="0"/>
          </c:trendline>
          <c:cat>
            <c:strRef>
              <c:f>Ratios!$B$1:$D$2</c:f>
              <c:strCache>
                <c:ptCount val="3"/>
                <c:pt idx="0">
                  <c:v>2022-23</c:v>
                </c:pt>
                <c:pt idx="1">
                  <c:v>2023-24</c:v>
                </c:pt>
                <c:pt idx="2">
                  <c:v>2024-25</c:v>
                </c:pt>
              </c:strCache>
            </c:strRef>
          </c:cat>
          <c:val>
            <c:numRef>
              <c:f>Ratios!$B$6:$D$6</c:f>
              <c:numCache>
                <c:formatCode>General</c:formatCode>
                <c:ptCount val="3"/>
                <c:pt idx="0">
                  <c:v>1.83</c:v>
                </c:pt>
                <c:pt idx="1">
                  <c:v>1.17</c:v>
                </c:pt>
                <c:pt idx="2">
                  <c:v>0.47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E7-4AF5-BC95-275205E085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89773808"/>
        <c:axId val="689771408"/>
      </c:barChart>
      <c:catAx>
        <c:axId val="68977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71408"/>
        <c:crosses val="autoZero"/>
        <c:auto val="1"/>
        <c:lblAlgn val="ctr"/>
        <c:lblOffset val="100"/>
        <c:noMultiLvlLbl val="0"/>
      </c:catAx>
      <c:valAx>
        <c:axId val="689771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7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Ratios!$A$7</c:f>
              <c:strCache>
                <c:ptCount val="1"/>
                <c:pt idx="0">
                  <c:v>Inventory Turnover 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poly"/>
            <c:order val="2"/>
            <c:dispRSqr val="0"/>
            <c:dispEq val="0"/>
          </c:trendline>
          <c:cat>
            <c:strRef>
              <c:f>Ratios!$B$1:$D$2</c:f>
              <c:strCache>
                <c:ptCount val="3"/>
                <c:pt idx="0">
                  <c:v>2022-23</c:v>
                </c:pt>
                <c:pt idx="1">
                  <c:v>2023-24</c:v>
                </c:pt>
                <c:pt idx="2">
                  <c:v>2024-25</c:v>
                </c:pt>
              </c:strCache>
            </c:strRef>
          </c:cat>
          <c:val>
            <c:numRef>
              <c:f>Ratios!$B$7:$D$7</c:f>
              <c:numCache>
                <c:formatCode>General</c:formatCode>
                <c:ptCount val="3"/>
                <c:pt idx="0">
                  <c:v>24.98</c:v>
                </c:pt>
                <c:pt idx="1">
                  <c:v>23</c:v>
                </c:pt>
                <c:pt idx="2">
                  <c:v>12.68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71-4EA9-A4E0-0C075099C21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89755568"/>
        <c:axId val="689757968"/>
      </c:barChart>
      <c:catAx>
        <c:axId val="68975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57968"/>
        <c:crosses val="autoZero"/>
        <c:auto val="1"/>
        <c:lblAlgn val="ctr"/>
        <c:lblOffset val="100"/>
        <c:noMultiLvlLbl val="0"/>
      </c:catAx>
      <c:valAx>
        <c:axId val="689757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55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Ratios!$A$8</c:f>
              <c:strCache>
                <c:ptCount val="1"/>
                <c:pt idx="0">
                  <c:v>Trade Receivable Turnover 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poly"/>
            <c:order val="2"/>
            <c:dispRSqr val="0"/>
            <c:dispEq val="0"/>
          </c:trendline>
          <c:cat>
            <c:strRef>
              <c:f>Ratios!$B$1:$D$2</c:f>
              <c:strCache>
                <c:ptCount val="3"/>
                <c:pt idx="0">
                  <c:v>2022-23</c:v>
                </c:pt>
                <c:pt idx="1">
                  <c:v>2023-24</c:v>
                </c:pt>
                <c:pt idx="2">
                  <c:v>2024-25</c:v>
                </c:pt>
              </c:strCache>
            </c:strRef>
          </c:cat>
          <c:val>
            <c:numRef>
              <c:f>Ratios!$B$8:$D$8</c:f>
              <c:numCache>
                <c:formatCode>General</c:formatCode>
                <c:ptCount val="3"/>
                <c:pt idx="0">
                  <c:v>10</c:v>
                </c:pt>
                <c:pt idx="1">
                  <c:v>8.06</c:v>
                </c:pt>
                <c:pt idx="2">
                  <c:v>3.45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50-4C27-A913-F30675B3344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89805008"/>
        <c:axId val="689798768"/>
      </c:barChart>
      <c:catAx>
        <c:axId val="68980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98768"/>
        <c:crosses val="autoZero"/>
        <c:auto val="1"/>
        <c:lblAlgn val="ctr"/>
        <c:lblOffset val="100"/>
        <c:noMultiLvlLbl val="0"/>
      </c:catAx>
      <c:valAx>
        <c:axId val="689798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805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Ratios!$A$9</c:f>
              <c:strCache>
                <c:ptCount val="1"/>
                <c:pt idx="0">
                  <c:v>Trade Payable Turnover 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2.777777777777676E-3"/>
                  <c:y val="-0.1293857538641003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413-4E32-92D2-64C73F3FFB60}"/>
                </c:ext>
              </c:extLst>
            </c:dLbl>
            <c:spPr>
              <a:solidFill>
                <a:srgbClr val="0070C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poly"/>
            <c:order val="2"/>
            <c:dispRSqr val="0"/>
            <c:dispEq val="0"/>
          </c:trendline>
          <c:cat>
            <c:strRef>
              <c:f>Ratios!$B$1:$D$2</c:f>
              <c:strCache>
                <c:ptCount val="3"/>
                <c:pt idx="0">
                  <c:v>2022-23</c:v>
                </c:pt>
                <c:pt idx="1">
                  <c:v>2023-24</c:v>
                </c:pt>
                <c:pt idx="2">
                  <c:v>2024-25</c:v>
                </c:pt>
              </c:strCache>
            </c:strRef>
          </c:cat>
          <c:val>
            <c:numRef>
              <c:f>Ratios!$B$9:$D$9</c:f>
              <c:numCache>
                <c:formatCode>General</c:formatCode>
                <c:ptCount val="3"/>
                <c:pt idx="0">
                  <c:v>9.76</c:v>
                </c:pt>
                <c:pt idx="1">
                  <c:v>2.98</c:v>
                </c:pt>
                <c:pt idx="2">
                  <c:v>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13-4E32-92D2-64C73F3FFB6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71957167"/>
        <c:axId val="1571942767"/>
      </c:barChart>
      <c:catAx>
        <c:axId val="157195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942767"/>
        <c:crosses val="autoZero"/>
        <c:auto val="1"/>
        <c:lblAlgn val="ctr"/>
        <c:lblOffset val="100"/>
        <c:noMultiLvlLbl val="0"/>
      </c:catAx>
      <c:valAx>
        <c:axId val="1571942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957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001782184634325E-2"/>
          <c:y val="0.20716471416682672"/>
          <c:w val="0.89207640711577718"/>
          <c:h val="0.646893604762819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Ratios!$A$10</c:f>
              <c:strCache>
                <c:ptCount val="1"/>
                <c:pt idx="0">
                  <c:v>Net Capital Turnover 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2.05761316872428E-3"/>
                  <c:y val="-8.713078548108316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44C-4F4D-A828-569D25392535}"/>
                </c:ext>
              </c:extLst>
            </c:dLbl>
            <c:spPr>
              <a:solidFill>
                <a:srgbClr val="0070C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olid"/>
                <a:extLst>
                  <a:ext uri="{C807C97D-BFC1-408E-A445-0C87EB9F89A2}">
                    <ask:lineSketchStyleProps xmlns:ask="http://schemas.microsoft.com/office/drawing/2018/sketchyshapes">
                      <ask:type>
                        <ask:lineSketchNone/>
                      </ask:type>
                    </ask:lineSketchStyleProps>
                  </a:ext>
                </a:extLst>
              </a:ln>
              <a:effectLst/>
            </c:spPr>
            <c:trendlineType val="poly"/>
            <c:order val="2"/>
            <c:dispRSqr val="0"/>
            <c:dispEq val="0"/>
          </c:trendline>
          <c:cat>
            <c:strRef>
              <c:f>Ratios!$B$1:$D$2</c:f>
              <c:strCache>
                <c:ptCount val="3"/>
                <c:pt idx="0">
                  <c:v>2022-23</c:v>
                </c:pt>
                <c:pt idx="1">
                  <c:v>2023-24</c:v>
                </c:pt>
                <c:pt idx="2">
                  <c:v>2024-25</c:v>
                </c:pt>
              </c:strCache>
            </c:strRef>
          </c:cat>
          <c:val>
            <c:numRef>
              <c:f>Ratios!$B$9:$D$9</c:f>
              <c:numCache>
                <c:formatCode>General</c:formatCode>
                <c:ptCount val="3"/>
                <c:pt idx="0">
                  <c:v>9.76</c:v>
                </c:pt>
                <c:pt idx="1">
                  <c:v>2.98</c:v>
                </c:pt>
                <c:pt idx="2">
                  <c:v>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4C-4F4D-A828-569D2539253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22194607"/>
        <c:axId val="1323122303"/>
      </c:barChart>
      <c:catAx>
        <c:axId val="1322194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122303"/>
        <c:crosses val="autoZero"/>
        <c:auto val="1"/>
        <c:lblAlgn val="ctr"/>
        <c:lblOffset val="100"/>
        <c:noMultiLvlLbl val="0"/>
      </c:catAx>
      <c:valAx>
        <c:axId val="1323122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194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Ratios!$A$11</c:f>
              <c:strCache>
                <c:ptCount val="1"/>
                <c:pt idx="0">
                  <c:v>Net Profit 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olid"/>
                <a:extLst>
                  <a:ext uri="{C807C97D-BFC1-408E-A445-0C87EB9F89A2}">
                    <ask:lineSketchStyleProps xmlns:ask="http://schemas.microsoft.com/office/drawing/2018/sketchyshapes">
                      <ask:type>
                        <ask:lineSketchNone/>
                      </ask:type>
                    </ask:lineSketchStyleProps>
                  </a:ext>
                </a:extLst>
              </a:ln>
              <a:effectLst/>
            </c:spPr>
            <c:trendlineType val="poly"/>
            <c:order val="2"/>
            <c:dispRSqr val="0"/>
            <c:dispEq val="0"/>
          </c:trendline>
          <c:cat>
            <c:strRef>
              <c:f>Ratios!$B$1:$D$2</c:f>
              <c:strCache>
                <c:ptCount val="3"/>
                <c:pt idx="0">
                  <c:v>2022-23</c:v>
                </c:pt>
                <c:pt idx="1">
                  <c:v>2023-24</c:v>
                </c:pt>
                <c:pt idx="2">
                  <c:v>2024-25</c:v>
                </c:pt>
              </c:strCache>
            </c:strRef>
          </c:cat>
          <c:val>
            <c:numRef>
              <c:f>Ratios!$B$11:$D$11</c:f>
              <c:numCache>
                <c:formatCode>General</c:formatCode>
                <c:ptCount val="3"/>
                <c:pt idx="0">
                  <c:v>8.64</c:v>
                </c:pt>
                <c:pt idx="1">
                  <c:v>6.03</c:v>
                </c:pt>
                <c:pt idx="2">
                  <c:v>4.3499999999999996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6E-402C-9E3E-85791B94681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86345087"/>
        <c:axId val="886335487"/>
      </c:barChart>
      <c:catAx>
        <c:axId val="886345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335487"/>
        <c:crosses val="autoZero"/>
        <c:auto val="1"/>
        <c:lblAlgn val="ctr"/>
        <c:lblOffset val="100"/>
        <c:noMultiLvlLbl val="0"/>
      </c:catAx>
      <c:valAx>
        <c:axId val="886335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345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Ratios!$A$12</c:f>
              <c:strCache>
                <c:ptCount val="1"/>
                <c:pt idx="0">
                  <c:v>Return on Capital Employed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poly"/>
            <c:order val="2"/>
            <c:dispRSqr val="0"/>
            <c:dispEq val="0"/>
          </c:trendline>
          <c:cat>
            <c:strRef>
              <c:f>Ratios!$B$1:$D$2</c:f>
              <c:strCache>
                <c:ptCount val="3"/>
                <c:pt idx="0">
                  <c:v>2022-23</c:v>
                </c:pt>
                <c:pt idx="1">
                  <c:v>2023-24</c:v>
                </c:pt>
                <c:pt idx="2">
                  <c:v>2024-25</c:v>
                </c:pt>
              </c:strCache>
            </c:strRef>
          </c:cat>
          <c:val>
            <c:numRef>
              <c:f>Ratios!$B$12:$D$12</c:f>
              <c:numCache>
                <c:formatCode>General</c:formatCode>
                <c:ptCount val="3"/>
                <c:pt idx="0">
                  <c:v>1.27</c:v>
                </c:pt>
                <c:pt idx="1">
                  <c:v>1.04</c:v>
                </c:pt>
                <c:pt idx="2">
                  <c:v>0.54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14-4B92-8FB4-F079385A8FA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86361407"/>
        <c:axId val="886351807"/>
      </c:barChart>
      <c:catAx>
        <c:axId val="88636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351807"/>
        <c:crosses val="autoZero"/>
        <c:auto val="1"/>
        <c:lblAlgn val="ctr"/>
        <c:lblOffset val="100"/>
        <c:noMultiLvlLbl val="0"/>
      </c:catAx>
      <c:valAx>
        <c:axId val="886351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361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Ratios!$A$13</c:f>
              <c:strCache>
                <c:ptCount val="1"/>
                <c:pt idx="0">
                  <c:v>Return on Investment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Ratios!$B$1:$D$2</c:f>
              <c:strCache>
                <c:ptCount val="3"/>
                <c:pt idx="0">
                  <c:v>2022-23</c:v>
                </c:pt>
                <c:pt idx="1">
                  <c:v>2023-24</c:v>
                </c:pt>
                <c:pt idx="2">
                  <c:v>2024-25</c:v>
                </c:pt>
              </c:strCache>
            </c:strRef>
          </c:cat>
          <c:val>
            <c:numRef>
              <c:f>Ratios!$B$13:$D$13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93-43F9-AD2E-51F8B20E9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6320607"/>
        <c:axId val="886318207"/>
      </c:barChart>
      <c:catAx>
        <c:axId val="886320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318207"/>
        <c:crosses val="autoZero"/>
        <c:auto val="1"/>
        <c:lblAlgn val="ctr"/>
        <c:lblOffset val="100"/>
        <c:noMultiLvlLbl val="0"/>
      </c:catAx>
      <c:valAx>
        <c:axId val="886318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320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807353821688879E-2"/>
          <c:y val="6.9287440751619453E-2"/>
          <c:w val="0.73147048140649695"/>
          <c:h val="0.831353490156014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FY!$A$2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FY!$B$1:$D$1</c:f>
              <c:strCache>
                <c:ptCount val="3"/>
                <c:pt idx="0">
                  <c:v>FY 22-23</c:v>
                </c:pt>
                <c:pt idx="1">
                  <c:v>FY 23-24 </c:v>
                </c:pt>
                <c:pt idx="2">
                  <c:v>FY 24-25</c:v>
                </c:pt>
              </c:strCache>
            </c:strRef>
          </c:cat>
          <c:val>
            <c:numRef>
              <c:f>FY!$B$2:$D$2</c:f>
              <c:numCache>
                <c:formatCode>General</c:formatCode>
                <c:ptCount val="3"/>
                <c:pt idx="0">
                  <c:v>12.7</c:v>
                </c:pt>
                <c:pt idx="1">
                  <c:v>56.5</c:v>
                </c:pt>
                <c:pt idx="2">
                  <c:v>65.900000000000006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670-4B6A-A996-4328B4F280B7}"/>
            </c:ext>
          </c:extLst>
        </c:ser>
        <c:ser>
          <c:idx val="1"/>
          <c:order val="1"/>
          <c:tx>
            <c:strRef>
              <c:f>FY!$A$3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FY!$B$1:$D$1</c:f>
              <c:strCache>
                <c:ptCount val="3"/>
                <c:pt idx="0">
                  <c:v>FY 22-23</c:v>
                </c:pt>
                <c:pt idx="1">
                  <c:v>FY 23-24 </c:v>
                </c:pt>
                <c:pt idx="2">
                  <c:v>FY 24-25</c:v>
                </c:pt>
              </c:strCache>
            </c:strRef>
          </c:cat>
          <c:val>
            <c:numRef>
              <c:f>FY!$B$3:$D$3</c:f>
              <c:numCache>
                <c:formatCode>General</c:formatCode>
                <c:ptCount val="3"/>
                <c:pt idx="0">
                  <c:v>11.2</c:v>
                </c:pt>
                <c:pt idx="1">
                  <c:v>51.7</c:v>
                </c:pt>
                <c:pt idx="2">
                  <c:v>61.9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670-4B6A-A996-4328B4F280B7}"/>
            </c:ext>
          </c:extLst>
        </c:ser>
        <c:ser>
          <c:idx val="2"/>
          <c:order val="2"/>
          <c:tx>
            <c:strRef>
              <c:f>FY!$A$4</c:f>
              <c:strCache>
                <c:ptCount val="1"/>
                <c:pt idx="0">
                  <c:v>EBITA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670-4B6A-A996-4328B4F280B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1321558348988134E-2"/>
                      <c:h val="3.624552605398743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4670-4B6A-A996-4328B4F280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FY!$B$1:$D$1</c:f>
              <c:strCache>
                <c:ptCount val="3"/>
                <c:pt idx="0">
                  <c:v>FY 22-23</c:v>
                </c:pt>
                <c:pt idx="1">
                  <c:v>FY 23-24 </c:v>
                </c:pt>
                <c:pt idx="2">
                  <c:v>FY 24-25</c:v>
                </c:pt>
              </c:strCache>
            </c:strRef>
          </c:cat>
          <c:val>
            <c:numRef>
              <c:f>FY!$B$4:$D$4</c:f>
              <c:numCache>
                <c:formatCode>General</c:formatCode>
                <c:ptCount val="3"/>
                <c:pt idx="0">
                  <c:v>1.5</c:v>
                </c:pt>
                <c:pt idx="1">
                  <c:v>4.8</c:v>
                </c:pt>
                <c:pt idx="2">
                  <c:v>4.0999999999999996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70-4B6A-A996-4328B4F280B7}"/>
            </c:ext>
          </c:extLst>
        </c:ser>
        <c:ser>
          <c:idx val="3"/>
          <c:order val="3"/>
          <c:tx>
            <c:strRef>
              <c:f>FY!$A$7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8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209288535326292E-2"/>
                      <c:h val="3.403745787718758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4670-4B6A-A996-4328B4F280B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8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7557589772515646E-2"/>
                      <c:h val="3.403745787718758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4670-4B6A-A996-4328B4F280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FY!$B$1:$D$1</c:f>
              <c:strCache>
                <c:ptCount val="3"/>
                <c:pt idx="0">
                  <c:v>FY 22-23</c:v>
                </c:pt>
                <c:pt idx="1">
                  <c:v>FY 23-24 </c:v>
                </c:pt>
                <c:pt idx="2">
                  <c:v>FY 24-25</c:v>
                </c:pt>
              </c:strCache>
            </c:strRef>
          </c:cat>
          <c:val>
            <c:numRef>
              <c:f>FY!$B$7:$D$7</c:f>
              <c:numCache>
                <c:formatCode>General</c:formatCode>
                <c:ptCount val="3"/>
                <c:pt idx="0">
                  <c:v>1.1000000000000001</c:v>
                </c:pt>
                <c:pt idx="1">
                  <c:v>3.4</c:v>
                </c:pt>
                <c:pt idx="2">
                  <c:v>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670-4B6A-A996-4328B4F280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69319056"/>
        <c:axId val="1369316656"/>
      </c:barChart>
      <c:catAx>
        <c:axId val="1369319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316656"/>
        <c:crosses val="autoZero"/>
        <c:auto val="1"/>
        <c:lblAlgn val="ctr"/>
        <c:lblOffset val="100"/>
        <c:noMultiLvlLbl val="0"/>
      </c:catAx>
      <c:valAx>
        <c:axId val="13693166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2800" b="0">
                    <a:solidFill>
                      <a:sysClr val="windowText" lastClr="000000"/>
                    </a:solidFill>
                  </a:rPr>
                  <a:t> c      r     o      r     e      s</a:t>
                </a:r>
              </a:p>
            </c:rich>
          </c:tx>
          <c:layout>
            <c:manualLayout>
              <c:xMode val="edge"/>
              <c:yMode val="edge"/>
              <c:x val="3.4681351739491197E-2"/>
              <c:y val="0.182050321343409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319056"/>
        <c:crosses val="autoZero"/>
        <c:crossBetween val="between"/>
      </c:valAx>
      <c:spPr>
        <a:noFill/>
        <a:ln>
          <a:solidFill>
            <a:schemeClr val="tx1">
              <a:lumMod val="95000"/>
              <a:lumOff val="5000"/>
            </a:schemeClr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56</xdr:row>
      <xdr:rowOff>149225</xdr:rowOff>
    </xdr:from>
    <xdr:to>
      <xdr:col>6</xdr:col>
      <xdr:colOff>1028700</xdr:colOff>
      <xdr:row>74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967C02-6056-CD32-FB45-BAAEE2B4CB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56</xdr:row>
      <xdr:rowOff>149225</xdr:rowOff>
    </xdr:from>
    <xdr:to>
      <xdr:col>12</xdr:col>
      <xdr:colOff>1123950</xdr:colOff>
      <xdr:row>74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14F109-27B1-FC02-CEEE-CF53DEBF40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56</xdr:row>
      <xdr:rowOff>149225</xdr:rowOff>
    </xdr:from>
    <xdr:to>
      <xdr:col>22</xdr:col>
      <xdr:colOff>95250</xdr:colOff>
      <xdr:row>74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E6CC3F-4E8A-0C15-FFE1-32D373A53B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0</xdr:colOff>
      <xdr:row>80</xdr:row>
      <xdr:rowOff>177800</xdr:rowOff>
    </xdr:from>
    <xdr:to>
      <xdr:col>6</xdr:col>
      <xdr:colOff>1028700</xdr:colOff>
      <xdr:row>95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D1FE69E-58A6-8B75-952D-CEC7D5BEE5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80</xdr:row>
      <xdr:rowOff>139700</xdr:rowOff>
    </xdr:from>
    <xdr:to>
      <xdr:col>12</xdr:col>
      <xdr:colOff>1143000</xdr:colOff>
      <xdr:row>95</xdr:row>
      <xdr:rowOff>158750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54EBFFC-C451-8160-11F0-2481C5DAB0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79</xdr:row>
      <xdr:rowOff>158750</xdr:rowOff>
    </xdr:from>
    <xdr:to>
      <xdr:col>22</xdr:col>
      <xdr:colOff>114300</xdr:colOff>
      <xdr:row>95</xdr:row>
      <xdr:rowOff>82550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BC41E87-82E4-D903-E066-538A597A4A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0</xdr:colOff>
      <xdr:row>100</xdr:row>
      <xdr:rowOff>101600</xdr:rowOff>
    </xdr:from>
    <xdr:to>
      <xdr:col>6</xdr:col>
      <xdr:colOff>1047750</xdr:colOff>
      <xdr:row>117</xdr:row>
      <xdr:rowOff>25400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9C9A52D-0486-71CA-9976-6C7C737618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100</xdr:row>
      <xdr:rowOff>63500</xdr:rowOff>
    </xdr:from>
    <xdr:to>
      <xdr:col>13</xdr:col>
      <xdr:colOff>76200</xdr:colOff>
      <xdr:row>116</xdr:row>
      <xdr:rowOff>139700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F71B10A-598E-DA48-9DB0-5E573362A3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0</xdr:colOff>
      <xdr:row>100</xdr:row>
      <xdr:rowOff>25400</xdr:rowOff>
    </xdr:from>
    <xdr:to>
      <xdr:col>22</xdr:col>
      <xdr:colOff>476250</xdr:colOff>
      <xdr:row>116</xdr:row>
      <xdr:rowOff>63500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92A832D-189E-890A-A447-83C20DB407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0</xdr:colOff>
      <xdr:row>121</xdr:row>
      <xdr:rowOff>158750</xdr:rowOff>
    </xdr:from>
    <xdr:to>
      <xdr:col>6</xdr:col>
      <xdr:colOff>1085850</xdr:colOff>
      <xdr:row>138</xdr:row>
      <xdr:rowOff>25400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238F0EF-4D82-A8EC-5766-35386865DC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0</xdr:colOff>
      <xdr:row>121</xdr:row>
      <xdr:rowOff>177800</xdr:rowOff>
    </xdr:from>
    <xdr:to>
      <xdr:col>14</xdr:col>
      <xdr:colOff>0</xdr:colOff>
      <xdr:row>138</xdr:row>
      <xdr:rowOff>63500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78BB615-A444-5719-05A9-D82EB2D0BB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oneCellAnchor>
    <xdr:from>
      <xdr:col>3</xdr:col>
      <xdr:colOff>782515</xdr:colOff>
      <xdr:row>61</xdr:row>
      <xdr:rowOff>18317</xdr:rowOff>
    </xdr:from>
    <xdr:ext cx="1219200" cy="311394"/>
    <xdr:sp macro="" textlink="Ratios!E3">
      <xdr:nvSpPr>
        <xdr:cNvPr id="15" name="TextBox 14">
          <a:extLst>
            <a:ext uri="{FF2B5EF4-FFF2-40B4-BE49-F238E27FC236}">
              <a16:creationId xmlns:a16="http://schemas.microsoft.com/office/drawing/2014/main" id="{13119140-A3DA-4DB8-25B8-7A3978C4FA84}"/>
            </a:ext>
          </a:extLst>
        </xdr:cNvPr>
        <xdr:cNvSpPr txBox="1"/>
      </xdr:nvSpPr>
      <xdr:spPr>
        <a:xfrm>
          <a:off x="3346938" y="12968654"/>
          <a:ext cx="1219200" cy="3113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C6DE0D32-0442-4B63-93AD-4786FAB739FA}" type="TxLink">
            <a:rPr lang="en-US" sz="1800" b="1" i="0" u="none" strike="noStrike">
              <a:solidFill>
                <a:srgbClr val="000000"/>
              </a:solidFill>
              <a:latin typeface="Calibri"/>
              <a:cs typeface="Calibri"/>
            </a:rPr>
            <a:pPr/>
            <a:t>-0.35</a:t>
          </a:fld>
          <a:endParaRPr lang="en-IN" sz="1800" b="1"/>
        </a:p>
      </xdr:txBody>
    </xdr:sp>
    <xdr:clientData/>
  </xdr:oneCellAnchor>
  <xdr:oneCellAnchor>
    <xdr:from>
      <xdr:col>2</xdr:col>
      <xdr:colOff>1028700</xdr:colOff>
      <xdr:row>26</xdr:row>
      <xdr:rowOff>152400</xdr:rowOff>
    </xdr:from>
    <xdr:ext cx="742950" cy="476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F1922042-2A6E-0D8F-BA0C-58B81C456CD1}"/>
            </a:ext>
          </a:extLst>
        </xdr:cNvPr>
        <xdr:cNvSpPr txBox="1"/>
      </xdr:nvSpPr>
      <xdr:spPr>
        <a:xfrm>
          <a:off x="3429000" y="5105400"/>
          <a:ext cx="742950" cy="476250"/>
        </a:xfrm>
        <a:prstGeom prst="rect">
          <a:avLst/>
        </a:prstGeom>
      </xdr:spPr>
      <xdr:txBody>
        <a:bodyPr vertOverflow="clip" horzOverflow="clip" wrap="square" rtlCol="0" anchor="t">
          <a:spAutoFit/>
        </a:bodyPr>
        <a:lstStyle/>
        <a:p>
          <a:pPr algn="l"/>
          <a:endParaRPr lang="en-IN" sz="1100" kern="1200"/>
        </a:p>
      </xdr:txBody>
    </xdr:sp>
    <xdr:clientData/>
  </xdr:oneCellAnchor>
  <xdr:twoCellAnchor>
    <xdr:from>
      <xdr:col>0</xdr:col>
      <xdr:colOff>934182</xdr:colOff>
      <xdr:row>5</xdr:row>
      <xdr:rowOff>146538</xdr:rowOff>
    </xdr:from>
    <xdr:to>
      <xdr:col>26</xdr:col>
      <xdr:colOff>238125</xdr:colOff>
      <xdr:row>45</xdr:row>
      <xdr:rowOff>329711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E7FCE50-211E-4D7C-AAC6-070A94099A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oneCellAnchor>
    <xdr:from>
      <xdr:col>5</xdr:col>
      <xdr:colOff>567836</xdr:colOff>
      <xdr:row>29</xdr:row>
      <xdr:rowOff>36635</xdr:rowOff>
    </xdr:from>
    <xdr:ext cx="787644" cy="457931"/>
    <xdr:sp macro="" textlink="FY!B5">
      <xdr:nvSpPr>
        <xdr:cNvPr id="17" name="TextBox 16">
          <a:extLst>
            <a:ext uri="{FF2B5EF4-FFF2-40B4-BE49-F238E27FC236}">
              <a16:creationId xmlns:a16="http://schemas.microsoft.com/office/drawing/2014/main" id="{E491572E-D404-E7AB-856B-02F8D8AB960A}"/>
            </a:ext>
          </a:extLst>
        </xdr:cNvPr>
        <xdr:cNvSpPr txBox="1"/>
      </xdr:nvSpPr>
      <xdr:spPr>
        <a:xfrm>
          <a:off x="5550144" y="6264520"/>
          <a:ext cx="787644" cy="457931"/>
        </a:xfrm>
        <a:prstGeom prst="rect">
          <a:avLst/>
        </a:prstGeom>
      </xdr:spPr>
      <xdr:txBody>
        <a:bodyPr vertOverflow="clip" horzOverflow="clip" wrap="square" rtlCol="0" anchor="t">
          <a:noAutofit/>
        </a:bodyPr>
        <a:lstStyle/>
        <a:p>
          <a:pPr algn="l"/>
          <a:fld id="{D168184B-B04D-45B7-A59F-6828CD0E371D}" type="TxLink">
            <a:rPr lang="en-US" sz="2000" b="1" i="0" u="none" strike="noStrike" kern="1200">
              <a:solidFill>
                <a:srgbClr val="000000"/>
              </a:solidFill>
              <a:latin typeface="Calibri"/>
              <a:cs typeface="Calibri"/>
            </a:rPr>
            <a:pPr algn="l"/>
            <a:t>12%</a:t>
          </a:fld>
          <a:endParaRPr lang="en-IN" sz="2000" b="1" kern="1200"/>
        </a:p>
      </xdr:txBody>
    </xdr:sp>
    <xdr:clientData/>
  </xdr:oneCellAnchor>
  <xdr:oneCellAnchor>
    <xdr:from>
      <xdr:col>10</xdr:col>
      <xdr:colOff>567837</xdr:colOff>
      <xdr:row>32</xdr:row>
      <xdr:rowOff>73267</xdr:rowOff>
    </xdr:from>
    <xdr:ext cx="696057" cy="421298"/>
    <xdr:sp macro="" textlink="FY!C5">
      <xdr:nvSpPr>
        <xdr:cNvPr id="18" name="TextBox 17">
          <a:extLst>
            <a:ext uri="{FF2B5EF4-FFF2-40B4-BE49-F238E27FC236}">
              <a16:creationId xmlns:a16="http://schemas.microsoft.com/office/drawing/2014/main" id="{D85B1467-317C-52FD-B3C3-9FE36562F014}"/>
            </a:ext>
          </a:extLst>
        </xdr:cNvPr>
        <xdr:cNvSpPr txBox="1"/>
      </xdr:nvSpPr>
      <xdr:spPr>
        <a:xfrm>
          <a:off x="10532452" y="6850671"/>
          <a:ext cx="696057" cy="421298"/>
        </a:xfrm>
        <a:prstGeom prst="rect">
          <a:avLst/>
        </a:prstGeom>
      </xdr:spPr>
      <xdr:txBody>
        <a:bodyPr vertOverflow="clip" horzOverflow="clip" wrap="square" rtlCol="0" anchor="t">
          <a:noAutofit/>
        </a:bodyPr>
        <a:lstStyle/>
        <a:p>
          <a:pPr algn="l"/>
          <a:fld id="{5E0CBC11-4DD8-4482-AD8C-C913E27013BD}" type="TxLink">
            <a:rPr lang="en-US" sz="2000" b="1" i="0" u="none" strike="noStrike" kern="1200">
              <a:solidFill>
                <a:srgbClr val="000000"/>
              </a:solidFill>
              <a:latin typeface="Calibri"/>
              <a:cs typeface="Calibri"/>
            </a:rPr>
            <a:pPr algn="l"/>
            <a:t>8%</a:t>
          </a:fld>
          <a:endParaRPr lang="en-IN" sz="2000" b="1" kern="1200"/>
        </a:p>
      </xdr:txBody>
    </xdr:sp>
    <xdr:clientData/>
  </xdr:oneCellAnchor>
  <xdr:oneCellAnchor>
    <xdr:from>
      <xdr:col>15</xdr:col>
      <xdr:colOff>567837</xdr:colOff>
      <xdr:row>32</xdr:row>
      <xdr:rowOff>18319</xdr:rowOff>
    </xdr:from>
    <xdr:ext cx="970818" cy="714374"/>
    <xdr:sp macro="" textlink="FY!D5">
      <xdr:nvSpPr>
        <xdr:cNvPr id="19" name="TextBox 18">
          <a:extLst>
            <a:ext uri="{FF2B5EF4-FFF2-40B4-BE49-F238E27FC236}">
              <a16:creationId xmlns:a16="http://schemas.microsoft.com/office/drawing/2014/main" id="{2F9BF58D-56AF-EA00-9FAB-8D35D0A72771}"/>
            </a:ext>
          </a:extLst>
        </xdr:cNvPr>
        <xdr:cNvSpPr txBox="1"/>
      </xdr:nvSpPr>
      <xdr:spPr>
        <a:xfrm>
          <a:off x="15514760" y="6795723"/>
          <a:ext cx="970818" cy="714374"/>
        </a:xfrm>
        <a:prstGeom prst="rect">
          <a:avLst/>
        </a:prstGeom>
      </xdr:spPr>
      <xdr:txBody>
        <a:bodyPr vertOverflow="clip" horzOverflow="clip" wrap="square" rtlCol="0" anchor="t">
          <a:noAutofit/>
        </a:bodyPr>
        <a:lstStyle/>
        <a:p>
          <a:pPr algn="l"/>
          <a:fld id="{2944127A-7736-40D6-9466-0772581CD054}" type="TxLink">
            <a:rPr lang="en-US" sz="2000" b="1" i="0" u="none" strike="noStrike" kern="1200">
              <a:solidFill>
                <a:srgbClr val="000000"/>
              </a:solidFill>
              <a:latin typeface="Calibri"/>
              <a:cs typeface="Calibri"/>
            </a:rPr>
            <a:pPr algn="l"/>
            <a:t>6%</a:t>
          </a:fld>
          <a:endParaRPr lang="en-IN" sz="2000" b="1" kern="1200"/>
        </a:p>
      </xdr:txBody>
    </xdr:sp>
    <xdr:clientData/>
  </xdr:oneCellAnchor>
  <xdr:twoCellAnchor>
    <xdr:from>
      <xdr:col>5</xdr:col>
      <xdr:colOff>842596</xdr:colOff>
      <xdr:row>31</xdr:row>
      <xdr:rowOff>109904</xdr:rowOff>
    </xdr:from>
    <xdr:to>
      <xdr:col>5</xdr:col>
      <xdr:colOff>860913</xdr:colOff>
      <xdr:row>41</xdr:row>
      <xdr:rowOff>164855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928DB26D-CCFE-3847-D81D-E946B8A04147}"/>
            </a:ext>
          </a:extLst>
        </xdr:cNvPr>
        <xdr:cNvCxnSpPr/>
      </xdr:nvCxnSpPr>
      <xdr:spPr>
        <a:xfrm flipV="1">
          <a:off x="5824904" y="6704135"/>
          <a:ext cx="18317" cy="1886682"/>
        </a:xfrm>
        <a:prstGeom prst="line">
          <a:avLst/>
        </a:prstGeom>
        <a:ln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769326</xdr:colOff>
      <xdr:row>34</xdr:row>
      <xdr:rowOff>73269</xdr:rowOff>
    </xdr:from>
    <xdr:to>
      <xdr:col>10</xdr:col>
      <xdr:colOff>787645</xdr:colOff>
      <xdr:row>42</xdr:row>
      <xdr:rowOff>18317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D62494F5-6958-1E10-EF6B-33A00ACAB0BE}"/>
            </a:ext>
          </a:extLst>
        </xdr:cNvPr>
        <xdr:cNvCxnSpPr/>
      </xdr:nvCxnSpPr>
      <xdr:spPr>
        <a:xfrm flipH="1">
          <a:off x="10733941" y="7217019"/>
          <a:ext cx="18319" cy="1410433"/>
        </a:xfrm>
        <a:prstGeom prst="line">
          <a:avLst/>
        </a:prstGeom>
        <a:ln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164855</xdr:colOff>
      <xdr:row>34</xdr:row>
      <xdr:rowOff>54952</xdr:rowOff>
    </xdr:from>
    <xdr:to>
      <xdr:col>16</xdr:col>
      <xdr:colOff>164855</xdr:colOff>
      <xdr:row>41</xdr:row>
      <xdr:rowOff>183171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B81A0E80-90BA-CEEF-A5DF-B7BC466E43F3}"/>
            </a:ext>
          </a:extLst>
        </xdr:cNvPr>
        <xdr:cNvCxnSpPr/>
      </xdr:nvCxnSpPr>
      <xdr:spPr>
        <a:xfrm>
          <a:off x="15716249" y="7198702"/>
          <a:ext cx="0" cy="1410431"/>
        </a:xfrm>
        <a:prstGeom prst="line">
          <a:avLst/>
        </a:prstGeom>
        <a:ln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788376</xdr:colOff>
      <xdr:row>23</xdr:row>
      <xdr:rowOff>147271</xdr:rowOff>
    </xdr:from>
    <xdr:to>
      <xdr:col>10</xdr:col>
      <xdr:colOff>493834</xdr:colOff>
      <xdr:row>28</xdr:row>
      <xdr:rowOff>145805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436609C-2B46-2027-77AD-01C6F5D1C7B4}"/>
            </a:ext>
          </a:extLst>
        </xdr:cNvPr>
        <xdr:cNvSpPr txBox="1"/>
      </xdr:nvSpPr>
      <xdr:spPr>
        <a:xfrm>
          <a:off x="11668857" y="4506790"/>
          <a:ext cx="914400" cy="914400"/>
        </a:xfrm>
        <a:prstGeom prst="rect">
          <a:avLst/>
        </a:prstGeom>
      </xdr:spPr>
      <xdr:txBody>
        <a:bodyPr vertOverflow="clip" horzOverflow="clip" wrap="square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</xdr:col>
      <xdr:colOff>1080721</xdr:colOff>
      <xdr:row>12</xdr:row>
      <xdr:rowOff>164856</xdr:rowOff>
    </xdr:from>
    <xdr:to>
      <xdr:col>1</xdr:col>
      <xdr:colOff>1117356</xdr:colOff>
      <xdr:row>39</xdr:row>
      <xdr:rowOff>91587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5E044947-34AA-5411-9902-8846EB375EEE}"/>
            </a:ext>
          </a:extLst>
        </xdr:cNvPr>
        <xdr:cNvCxnSpPr/>
      </xdr:nvCxnSpPr>
      <xdr:spPr>
        <a:xfrm flipH="1">
          <a:off x="2289663" y="2509471"/>
          <a:ext cx="36635" cy="4872404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0.61739</cdr:x>
      <cdr:y>0.14286</cdr:y>
    </cdr:from>
    <cdr:to>
      <cdr:x>0.8087</cdr:x>
      <cdr:y>0.47429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CEAF9EC6-B312-BFC3-1C1B-522E9F516071}"/>
            </a:ext>
          </a:extLst>
        </cdr:cNvPr>
        <cdr:cNvSpPr txBox="1"/>
      </cdr:nvSpPr>
      <cdr:spPr>
        <a:xfrm xmlns:a="http://schemas.openxmlformats.org/drawingml/2006/main">
          <a:off x="4057650" y="476250"/>
          <a:ext cx="1257300" cy="1104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0.65507</cdr:x>
      <cdr:y>0.22286</cdr:y>
    </cdr:from>
    <cdr:to>
      <cdr:x>0.7942</cdr:x>
      <cdr:y>0.49714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466712E4-571E-893F-BD54-8060D32EFF35}"/>
            </a:ext>
          </a:extLst>
        </cdr:cNvPr>
        <cdr:cNvSpPr txBox="1"/>
      </cdr:nvSpPr>
      <cdr:spPr>
        <a:xfrm xmlns:a="http://schemas.openxmlformats.org/drawingml/2006/main">
          <a:off x="4305300" y="74295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0.67826</cdr:x>
      <cdr:y>0.28</cdr:y>
    </cdr:from>
    <cdr:to>
      <cdr:x>0.81739</cdr:x>
      <cdr:y>0.55429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CF121A8E-17F5-2937-7981-E37598C380A7}"/>
            </a:ext>
          </a:extLst>
        </cdr:cNvPr>
        <cdr:cNvSpPr txBox="1"/>
      </cdr:nvSpPr>
      <cdr:spPr>
        <a:xfrm xmlns:a="http://schemas.openxmlformats.org/drawingml/2006/main">
          <a:off x="4457700" y="93345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0.65507</cdr:x>
      <cdr:y>0.14286</cdr:y>
    </cdr:from>
    <cdr:to>
      <cdr:x>0.7942</cdr:x>
      <cdr:y>0.41714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06B02D0D-CD5E-AEA3-29B5-C7BF9EC705EE}"/>
            </a:ext>
          </a:extLst>
        </cdr:cNvPr>
        <cdr:cNvSpPr txBox="1"/>
      </cdr:nvSpPr>
      <cdr:spPr>
        <a:xfrm xmlns:a="http://schemas.openxmlformats.org/drawingml/2006/main">
          <a:off x="4305300" y="47625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0.66667</cdr:x>
      <cdr:y>0.11429</cdr:y>
    </cdr:from>
    <cdr:to>
      <cdr:x>0.8058</cdr:x>
      <cdr:y>0.38857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9055C9B0-C275-B2EA-3BA1-369A77A39CB4}"/>
            </a:ext>
          </a:extLst>
        </cdr:cNvPr>
        <cdr:cNvSpPr txBox="1"/>
      </cdr:nvSpPr>
      <cdr:spPr>
        <a:xfrm xmlns:a="http://schemas.openxmlformats.org/drawingml/2006/main">
          <a:off x="4381500" y="3810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0.65507</cdr:x>
      <cdr:y>0.10857</cdr:y>
    </cdr:from>
    <cdr:to>
      <cdr:x>0.7942</cdr:x>
      <cdr:y>0.38286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1107FD1D-F532-A67D-D71B-B8CC5B6ED100}"/>
            </a:ext>
          </a:extLst>
        </cdr:cNvPr>
        <cdr:cNvSpPr txBox="1"/>
      </cdr:nvSpPr>
      <cdr:spPr>
        <a:xfrm xmlns:a="http://schemas.openxmlformats.org/drawingml/2006/main">
          <a:off x="4305300" y="36195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0.66377</cdr:x>
      <cdr:y>0.09714</cdr:y>
    </cdr:from>
    <cdr:to>
      <cdr:x>0.8029</cdr:x>
      <cdr:y>0.37143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1C7958B5-0961-5CE8-3052-DABC85AF7666}"/>
            </a:ext>
          </a:extLst>
        </cdr:cNvPr>
        <cdr:cNvSpPr txBox="1"/>
      </cdr:nvSpPr>
      <cdr:spPr>
        <a:xfrm xmlns:a="http://schemas.openxmlformats.org/drawingml/2006/main">
          <a:off x="4362450" y="32385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l"/>
          <a:endParaRPr lang="en-IN" sz="1100" kern="1200"/>
        </a:p>
      </cdr:txBody>
    </cdr:sp>
  </cdr:relSizeAnchor>
  <cdr:relSizeAnchor xmlns:cdr="http://schemas.openxmlformats.org/drawingml/2006/chartDrawing">
    <cdr:from>
      <cdr:x>0.62899</cdr:x>
      <cdr:y>0.26286</cdr:y>
    </cdr:from>
    <cdr:to>
      <cdr:x>0.73913</cdr:x>
      <cdr:y>0.40571</cdr:y>
    </cdr:to>
    <cdr:sp macro="" textlink="Ratios!$F$3">
      <cdr:nvSpPr>
        <cdr:cNvPr id="10" name="TextBox 9">
          <a:extLst xmlns:a="http://schemas.openxmlformats.org/drawingml/2006/main">
            <a:ext uri="{FF2B5EF4-FFF2-40B4-BE49-F238E27FC236}">
              <a16:creationId xmlns:a16="http://schemas.microsoft.com/office/drawing/2014/main" id="{7C824373-EA5B-668E-01E5-792225E2B381}"/>
            </a:ext>
          </a:extLst>
        </cdr:cNvPr>
        <cdr:cNvSpPr txBox="1"/>
      </cdr:nvSpPr>
      <cdr:spPr>
        <a:xfrm xmlns:a="http://schemas.openxmlformats.org/drawingml/2006/main">
          <a:off x="4133850" y="876300"/>
          <a:ext cx="723900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l"/>
          <a:fld id="{A81D7D09-B13B-4968-AE52-E01909E5CAD9}" type="TxLink">
            <a:rPr lang="en-US" sz="2000" b="1" i="0" u="none" strike="noStrike" kern="1200">
              <a:solidFill>
                <a:srgbClr val="000000"/>
              </a:solidFill>
              <a:latin typeface="Calibri"/>
              <a:cs typeface="Calibri"/>
            </a:rPr>
            <a:pPr algn="l"/>
            <a:t>0.26</a:t>
          </a:fld>
          <a:endParaRPr lang="en-IN" sz="2000" b="1" kern="12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0.36533</cdr:x>
      <cdr:y>0.41954</cdr:y>
    </cdr:from>
    <cdr:to>
      <cdr:x>0.51393</cdr:x>
      <cdr:y>0.6954</cdr:y>
    </cdr:to>
    <cdr:sp macro="" textlink="Ratios!$E$4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A532784-84CD-92EF-7FCF-1E70FF4B0B53}"/>
            </a:ext>
          </a:extLst>
        </cdr:cNvPr>
        <cdr:cNvSpPr txBox="1"/>
      </cdr:nvSpPr>
      <cdr:spPr>
        <a:xfrm xmlns:a="http://schemas.openxmlformats.org/drawingml/2006/main">
          <a:off x="2247900" y="139065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l"/>
          <a:fld id="{61B779EC-490B-4368-8AE4-C272AE3100F7}" type="TxLink">
            <a:rPr lang="en-US" sz="2000" b="1" i="0" u="none" strike="noStrike" kern="1200">
              <a:solidFill>
                <a:srgbClr val="000000"/>
              </a:solidFill>
              <a:latin typeface="Calibri"/>
              <a:cs typeface="Calibri"/>
            </a:rPr>
            <a:pPr algn="l"/>
            <a:t>-0.03</a:t>
          </a:fld>
          <a:endParaRPr lang="en-IN" sz="2000" b="1" kern="1200"/>
        </a:p>
      </cdr:txBody>
    </cdr:sp>
  </cdr:relSizeAnchor>
  <cdr:relSizeAnchor xmlns:cdr="http://schemas.openxmlformats.org/drawingml/2006/chartDrawing">
    <cdr:from>
      <cdr:x>0.4257</cdr:x>
      <cdr:y>0.36207</cdr:y>
    </cdr:from>
    <cdr:to>
      <cdr:x>0.5743</cdr:x>
      <cdr:y>0.63793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D1DC9D1-ED44-F38D-22BF-E4BC7F0D0C2F}"/>
            </a:ext>
          </a:extLst>
        </cdr:cNvPr>
        <cdr:cNvSpPr txBox="1"/>
      </cdr:nvSpPr>
      <cdr:spPr>
        <a:xfrm xmlns:a="http://schemas.openxmlformats.org/drawingml/2006/main">
          <a:off x="2619375" y="120015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l"/>
          <a:endParaRPr lang="en-IN" sz="1100" kern="1200"/>
        </a:p>
      </cdr:txBody>
    </cdr:sp>
  </cdr:relSizeAnchor>
  <cdr:relSizeAnchor xmlns:cdr="http://schemas.openxmlformats.org/drawingml/2006/chartDrawing">
    <cdr:from>
      <cdr:x>0.65325</cdr:x>
      <cdr:y>0.58046</cdr:y>
    </cdr:from>
    <cdr:to>
      <cdr:x>0.73065</cdr:x>
      <cdr:y>0.77586</cdr:y>
    </cdr:to>
    <cdr:sp macro="" textlink="Ratios!$F$4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1BE6624A-68FE-E906-CD4C-4AC8176161AB}"/>
            </a:ext>
          </a:extLst>
        </cdr:cNvPr>
        <cdr:cNvSpPr txBox="1"/>
      </cdr:nvSpPr>
      <cdr:spPr>
        <a:xfrm xmlns:a="http://schemas.openxmlformats.org/drawingml/2006/main" flipV="1">
          <a:off x="4019550" y="1924050"/>
          <a:ext cx="476250" cy="647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l"/>
          <a:fld id="{85180CA3-5FF1-4DBD-BD44-FF7A217F7872}" type="TxLink">
            <a:rPr lang="en-US" sz="2000" b="1" i="0" u="none" strike="noStrike" kern="1200">
              <a:solidFill>
                <a:srgbClr val="000000"/>
              </a:solidFill>
              <a:latin typeface="Calibri"/>
              <a:cs typeface="Calibri"/>
            </a:rPr>
            <a:pPr algn="l"/>
            <a:t>0</a:t>
          </a:fld>
          <a:endParaRPr lang="en-IN" sz="2000" b="1" kern="12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0.43464</cdr:x>
      <cdr:y>0.36257</cdr:y>
    </cdr:from>
    <cdr:to>
      <cdr:x>0.5915</cdr:x>
      <cdr:y>0.64327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D32174B-41E5-E272-2EA8-3EE4B9A62C3E}"/>
            </a:ext>
          </a:extLst>
        </cdr:cNvPr>
        <cdr:cNvSpPr txBox="1"/>
      </cdr:nvSpPr>
      <cdr:spPr>
        <a:xfrm xmlns:a="http://schemas.openxmlformats.org/drawingml/2006/main">
          <a:off x="2533650" y="11811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l"/>
          <a:endParaRPr lang="en-IN" sz="1100" kern="1200"/>
        </a:p>
      </cdr:txBody>
    </cdr:sp>
  </cdr:relSizeAnchor>
  <cdr:relSizeAnchor xmlns:cdr="http://schemas.openxmlformats.org/drawingml/2006/chartDrawing">
    <cdr:from>
      <cdr:x>0.37582</cdr:x>
      <cdr:y>0.38596</cdr:y>
    </cdr:from>
    <cdr:to>
      <cdr:x>0.60131</cdr:x>
      <cdr:y>0.57895</cdr:y>
    </cdr:to>
    <cdr:sp macro="" textlink="Ratios!$E$5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AA9B03AB-74C7-64D2-DD2E-B42A528BDA24}"/>
            </a:ext>
          </a:extLst>
        </cdr:cNvPr>
        <cdr:cNvSpPr txBox="1"/>
      </cdr:nvSpPr>
      <cdr:spPr>
        <a:xfrm xmlns:a="http://schemas.openxmlformats.org/drawingml/2006/main">
          <a:off x="2190750" y="1257300"/>
          <a:ext cx="1314450" cy="628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l"/>
          <a:fld id="{6ADB83BA-D369-4EC5-8973-B94A7F06C93F}" type="TxLink">
            <a:rPr lang="en-US" sz="2000" b="1" i="0" u="none" strike="noStrike" kern="1200">
              <a:solidFill>
                <a:srgbClr val="000000"/>
              </a:solidFill>
              <a:latin typeface="Calibri"/>
              <a:cs typeface="Calibri"/>
            </a:rPr>
            <a:pPr algn="l"/>
            <a:t>-163.58</a:t>
          </a:fld>
          <a:endParaRPr lang="en-IN" sz="2000" b="1" kern="1200"/>
        </a:p>
      </cdr:txBody>
    </cdr:sp>
  </cdr:relSizeAnchor>
  <cdr:relSizeAnchor xmlns:cdr="http://schemas.openxmlformats.org/drawingml/2006/chartDrawing">
    <cdr:from>
      <cdr:x>0.64706</cdr:x>
      <cdr:y>0.70175</cdr:y>
    </cdr:from>
    <cdr:to>
      <cdr:x>0.85948</cdr:x>
      <cdr:y>0.78363</cdr:y>
    </cdr:to>
    <cdr:sp macro="" textlink="Ratios!$F$5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3FAB8942-3936-495D-E788-E854D0764660}"/>
            </a:ext>
          </a:extLst>
        </cdr:cNvPr>
        <cdr:cNvSpPr txBox="1"/>
      </cdr:nvSpPr>
      <cdr:spPr>
        <a:xfrm xmlns:a="http://schemas.openxmlformats.org/drawingml/2006/main">
          <a:off x="3771900" y="2286000"/>
          <a:ext cx="1238250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l"/>
          <a:fld id="{14615EC0-7FF4-4419-B0CF-B725ADDAEE63}" type="TxLink">
            <a:rPr lang="en-US" sz="1800" b="1" i="0" u="none" strike="noStrike" kern="1200">
              <a:solidFill>
                <a:srgbClr val="000000"/>
              </a:solidFill>
              <a:latin typeface="Calibri"/>
              <a:cs typeface="Calibri"/>
            </a:rPr>
            <a:pPr algn="l"/>
            <a:t>-2.57</a:t>
          </a:fld>
          <a:endParaRPr lang="en-IN" sz="1800" b="1" kern="12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0.37391</cdr:x>
      <cdr:y>0.26389</cdr:y>
    </cdr:from>
    <cdr:to>
      <cdr:x>0.54493</cdr:x>
      <cdr:y>0.625</cdr:y>
    </cdr:to>
    <cdr:sp macro="" textlink="Ratios!$E$6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F877B8F-3BFF-9BFD-7F30-6876E805C8EB}"/>
            </a:ext>
          </a:extLst>
        </cdr:cNvPr>
        <cdr:cNvSpPr txBox="1"/>
      </cdr:nvSpPr>
      <cdr:spPr>
        <a:xfrm xmlns:a="http://schemas.openxmlformats.org/drawingml/2006/main">
          <a:off x="2457450" y="723900"/>
          <a:ext cx="1123950" cy="990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l"/>
          <a:fld id="{1939BC43-8BDF-4688-8A8F-62427D6C3C9B}" type="TxLink">
            <a:rPr lang="en-US" sz="1800" b="1" i="0" u="none" strike="noStrike" kern="1200">
              <a:solidFill>
                <a:srgbClr val="000000"/>
              </a:solidFill>
              <a:latin typeface="Calibri"/>
              <a:cs typeface="Calibri"/>
            </a:rPr>
            <a:pPr algn="l"/>
            <a:t>-0.66</a:t>
          </a:fld>
          <a:endParaRPr lang="en-IN" sz="1800" b="1" kern="1200"/>
        </a:p>
      </cdr:txBody>
    </cdr:sp>
  </cdr:relSizeAnchor>
  <cdr:relSizeAnchor xmlns:cdr="http://schemas.openxmlformats.org/drawingml/2006/chartDrawing">
    <cdr:from>
      <cdr:x>0.67826</cdr:x>
      <cdr:y>0.47222</cdr:y>
    </cdr:from>
    <cdr:to>
      <cdr:x>0.81739</cdr:x>
      <cdr:y>0.80556</cdr:y>
    </cdr:to>
    <cdr:sp macro="" textlink="Ratios!$F$6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1B0C0446-A866-7FBD-38E0-156CC1C506C4}"/>
            </a:ext>
          </a:extLst>
        </cdr:cNvPr>
        <cdr:cNvSpPr txBox="1"/>
      </cdr:nvSpPr>
      <cdr:spPr>
        <a:xfrm xmlns:a="http://schemas.openxmlformats.org/drawingml/2006/main">
          <a:off x="4457700" y="1295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l"/>
          <a:fld id="{0ECFD92D-C4F2-4BC9-B3DD-C303560283C3}" type="TxLink">
            <a:rPr lang="en-US" sz="2000" b="1" i="0" u="none" strike="noStrike" kern="1200">
              <a:solidFill>
                <a:srgbClr val="000000"/>
              </a:solidFill>
              <a:latin typeface="Calibri"/>
              <a:cs typeface="Calibri"/>
            </a:rPr>
            <a:pPr algn="l"/>
            <a:t>-0.7</a:t>
          </a:fld>
          <a:endParaRPr lang="en-IN" sz="2000" b="1" kern="1200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0.33956</cdr:x>
      <cdr:y>0.17881</cdr:y>
    </cdr:from>
    <cdr:to>
      <cdr:x>0.54829</cdr:x>
      <cdr:y>0.59603</cdr:y>
    </cdr:to>
    <cdr:sp macro="" textlink="Ratios!$E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82EB6B1-49E8-8078-5AB6-BC1EE7FAB1FF}"/>
            </a:ext>
          </a:extLst>
        </cdr:cNvPr>
        <cdr:cNvSpPr txBox="1"/>
      </cdr:nvSpPr>
      <cdr:spPr>
        <a:xfrm xmlns:a="http://schemas.openxmlformats.org/drawingml/2006/main">
          <a:off x="2076450" y="514350"/>
          <a:ext cx="1276350" cy="12001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l"/>
          <a:fld id="{BA038652-D898-4A9F-895C-48D747F77C82}" type="TxLink">
            <a:rPr lang="en-US" sz="2000" b="1" i="0" u="none" strike="noStrike" kern="1200">
              <a:solidFill>
                <a:srgbClr val="000000"/>
              </a:solidFill>
              <a:latin typeface="Calibri"/>
              <a:cs typeface="Calibri"/>
            </a:rPr>
            <a:pPr algn="l"/>
            <a:t>-1.98</a:t>
          </a:fld>
          <a:endParaRPr lang="en-IN" sz="2000" b="1" kern="1200"/>
        </a:p>
      </cdr:txBody>
    </cdr:sp>
  </cdr:relSizeAnchor>
  <cdr:relSizeAnchor xmlns:cdr="http://schemas.openxmlformats.org/drawingml/2006/chartDrawing">
    <cdr:from>
      <cdr:x>0.6947</cdr:x>
      <cdr:y>0.33775</cdr:y>
    </cdr:from>
    <cdr:to>
      <cdr:x>0.87227</cdr:x>
      <cdr:y>0.75497</cdr:y>
    </cdr:to>
    <cdr:sp macro="" textlink="Ratios!$F$7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F4B29AE-7C42-0E24-BC11-2DF295039E99}"/>
            </a:ext>
          </a:extLst>
        </cdr:cNvPr>
        <cdr:cNvSpPr txBox="1"/>
      </cdr:nvSpPr>
      <cdr:spPr>
        <a:xfrm xmlns:a="http://schemas.openxmlformats.org/drawingml/2006/main">
          <a:off x="4248150" y="971550"/>
          <a:ext cx="1085850" cy="12001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l"/>
          <a:fld id="{F0ED1985-2E10-4A70-BDC3-83072B2B1819}" type="TxLink">
            <a:rPr lang="en-US" sz="2000" b="1" i="0" u="none" strike="noStrike" kern="1200">
              <a:solidFill>
                <a:srgbClr val="000000"/>
              </a:solidFill>
              <a:latin typeface="Calibri"/>
              <a:cs typeface="Calibri"/>
            </a:rPr>
            <a:pPr algn="l"/>
            <a:t>-10.32</a:t>
          </a:fld>
          <a:endParaRPr lang="en-IN" sz="2000" b="1" kern="1200"/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0.35548</cdr:x>
      <cdr:y>0.22436</cdr:y>
    </cdr:from>
    <cdr:to>
      <cdr:x>0.56146</cdr:x>
      <cdr:y>0.50641</cdr:y>
    </cdr:to>
    <cdr:sp macro="" textlink="Ratios!$E$8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AC9FE86-567A-E64B-D92D-37446988E8D8}"/>
            </a:ext>
          </a:extLst>
        </cdr:cNvPr>
        <cdr:cNvSpPr txBox="1"/>
      </cdr:nvSpPr>
      <cdr:spPr>
        <a:xfrm xmlns:a="http://schemas.openxmlformats.org/drawingml/2006/main">
          <a:off x="2038350" y="666750"/>
          <a:ext cx="1181100" cy="838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l"/>
          <a:fld id="{194528DC-A102-4C01-90CB-3DA73D2A6608}" type="TxLink">
            <a:rPr lang="en-US" sz="2000" b="1" i="0" u="none" strike="noStrike" kern="1200">
              <a:solidFill>
                <a:srgbClr val="000000"/>
              </a:solidFill>
              <a:latin typeface="Calibri"/>
              <a:cs typeface="Calibri"/>
            </a:rPr>
            <a:pPr algn="l"/>
            <a:t>-1.94</a:t>
          </a:fld>
          <a:endParaRPr lang="en-IN" sz="2000" b="1" kern="1200"/>
        </a:p>
      </cdr:txBody>
    </cdr:sp>
  </cdr:relSizeAnchor>
  <cdr:relSizeAnchor xmlns:cdr="http://schemas.openxmlformats.org/drawingml/2006/chartDrawing">
    <cdr:from>
      <cdr:x>0.69103</cdr:x>
      <cdr:y>0.41026</cdr:y>
    </cdr:from>
    <cdr:to>
      <cdr:x>0.87043</cdr:x>
      <cdr:y>0.67308</cdr:y>
    </cdr:to>
    <cdr:sp macro="" textlink="Ratios!$F$8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5A488CA-E79A-8B8D-7D94-354898B2A39A}"/>
            </a:ext>
          </a:extLst>
        </cdr:cNvPr>
        <cdr:cNvSpPr txBox="1"/>
      </cdr:nvSpPr>
      <cdr:spPr>
        <a:xfrm xmlns:a="http://schemas.openxmlformats.org/drawingml/2006/main">
          <a:off x="3962400" y="1219200"/>
          <a:ext cx="1028700" cy="7810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l"/>
          <a:fld id="{B7E97688-74D5-469F-AFD8-FCB6388A8D0C}" type="TxLink">
            <a:rPr lang="en-US" sz="2000" b="1" i="0" u="none" strike="noStrike" kern="1200">
              <a:solidFill>
                <a:srgbClr val="000000"/>
              </a:solidFill>
              <a:latin typeface="Calibri"/>
              <a:cs typeface="Calibri"/>
            </a:rPr>
            <a:pPr algn="l"/>
            <a:t>-4.61</a:t>
          </a:fld>
          <a:endParaRPr lang="en-IN" sz="2000" b="1" kern="1200"/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0.38571</cdr:x>
      <cdr:y>0.45181</cdr:y>
    </cdr:from>
    <cdr:to>
      <cdr:x>0.53429</cdr:x>
      <cdr:y>0.6988</cdr:y>
    </cdr:to>
    <cdr:sp macro="" textlink="Ratios!$E$9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850A9BE-1035-9C0F-F439-795BD92988AE}"/>
            </a:ext>
          </a:extLst>
        </cdr:cNvPr>
        <cdr:cNvSpPr txBox="1"/>
      </cdr:nvSpPr>
      <cdr:spPr>
        <a:xfrm xmlns:a="http://schemas.openxmlformats.org/drawingml/2006/main">
          <a:off x="2571750" y="1428750"/>
          <a:ext cx="990600" cy="7810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l"/>
          <a:fld id="{DD269970-6D33-4113-944E-B5E319F8E566}" type="TxLink">
            <a:rPr lang="en-US" sz="2000" b="1" i="0" u="none" strike="noStrike" kern="1200">
              <a:solidFill>
                <a:srgbClr val="000000"/>
              </a:solidFill>
              <a:latin typeface="Calibri"/>
              <a:cs typeface="Calibri"/>
            </a:rPr>
            <a:pPr algn="l"/>
            <a:t>-6.78</a:t>
          </a:fld>
          <a:endParaRPr lang="en-IN" sz="2000" b="1" kern="1200"/>
        </a:p>
      </cdr:txBody>
    </cdr:sp>
  </cdr:relSizeAnchor>
  <cdr:relSizeAnchor xmlns:cdr="http://schemas.openxmlformats.org/drawingml/2006/chartDrawing">
    <cdr:from>
      <cdr:x>0.64857</cdr:x>
      <cdr:y>0.64458</cdr:y>
    </cdr:from>
    <cdr:to>
      <cdr:x>0.82</cdr:x>
      <cdr:y>0.77108</cdr:y>
    </cdr:to>
    <cdr:sp macro="" textlink="Ratios!$F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7ABD51ED-1682-39FA-ACDA-7D0F9D1BC3B6}"/>
            </a:ext>
          </a:extLst>
        </cdr:cNvPr>
        <cdr:cNvSpPr txBox="1"/>
      </cdr:nvSpPr>
      <cdr:spPr>
        <a:xfrm xmlns:a="http://schemas.openxmlformats.org/drawingml/2006/main">
          <a:off x="4324350" y="2038350"/>
          <a:ext cx="1143000" cy="4000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l"/>
          <a:fld id="{032B6A3E-AB27-4D44-8AD4-015740AB04FD}" type="TxLink">
            <a:rPr lang="en-US" sz="2000" b="1" i="0" u="none" strike="noStrike" kern="1200">
              <a:solidFill>
                <a:srgbClr val="000000"/>
              </a:solidFill>
              <a:latin typeface="Calibri"/>
              <a:cs typeface="Calibri"/>
            </a:rPr>
            <a:pPr algn="l"/>
            <a:t>-1.58</a:t>
          </a:fld>
          <a:endParaRPr lang="en-IN" sz="2000" b="1" kern="1200"/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0.64198</cdr:x>
      <cdr:y>0.63415</cdr:y>
    </cdr:from>
    <cdr:to>
      <cdr:x>0.79012</cdr:x>
      <cdr:y>0.89634</cdr:y>
    </cdr:to>
    <cdr:sp macro="" textlink="Ratios!$F$10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634A08EB-1C9D-CAC5-208A-4F69A1C201E5}"/>
            </a:ext>
          </a:extLst>
        </cdr:cNvPr>
        <cdr:cNvSpPr txBox="1"/>
      </cdr:nvSpPr>
      <cdr:spPr>
        <a:xfrm xmlns:a="http://schemas.openxmlformats.org/drawingml/2006/main">
          <a:off x="3962400" y="1981200"/>
          <a:ext cx="914400" cy="8191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l"/>
          <a:fld id="{3E6F390A-81E7-4297-8EE3-A3A04D10CCB4}" type="TxLink">
            <a:rPr lang="en-US" sz="2000" b="1" i="0" u="none" strike="noStrike" kern="1200">
              <a:solidFill>
                <a:srgbClr val="000000"/>
              </a:solidFill>
              <a:latin typeface="Calibri"/>
              <a:cs typeface="Calibri"/>
            </a:rPr>
            <a:pPr algn="l"/>
            <a:t>53.2</a:t>
          </a:fld>
          <a:endParaRPr lang="en-IN" sz="2000" b="1" kern="1200"/>
        </a:p>
      </cdr:txBody>
    </cdr:sp>
  </cdr:relSizeAnchor>
  <cdr:relSizeAnchor xmlns:cdr="http://schemas.openxmlformats.org/drawingml/2006/chartDrawing">
    <cdr:from>
      <cdr:x>0.33642</cdr:x>
      <cdr:y>0.38415</cdr:y>
    </cdr:from>
    <cdr:to>
      <cdr:x>0.48457</cdr:x>
      <cdr:y>0.60366</cdr:y>
    </cdr:to>
    <cdr:sp macro="" textlink="Ratios!$E$10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074E9702-FE76-14FA-6810-15BC699F140E}"/>
            </a:ext>
          </a:extLst>
        </cdr:cNvPr>
        <cdr:cNvSpPr txBox="1"/>
      </cdr:nvSpPr>
      <cdr:spPr>
        <a:xfrm xmlns:a="http://schemas.openxmlformats.org/drawingml/2006/main">
          <a:off x="2076450" y="1200150"/>
          <a:ext cx="914400" cy="685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l"/>
          <a:fld id="{009789A1-79DF-4648-8252-2CDD43E9DF57}" type="TxLink">
            <a:rPr lang="en-US" sz="2000" b="1" i="0" u="none" strike="noStrike" kern="1200">
              <a:solidFill>
                <a:srgbClr val="000000"/>
              </a:solidFill>
              <a:latin typeface="Calibri"/>
              <a:cs typeface="Calibri"/>
            </a:rPr>
            <a:pPr algn="l"/>
            <a:t>-57.58</a:t>
          </a:fld>
          <a:endParaRPr lang="en-IN" sz="2000" b="1" kern="1200"/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0.37855</cdr:x>
      <cdr:y>0.2716</cdr:y>
    </cdr:from>
    <cdr:to>
      <cdr:x>0.52997</cdr:x>
      <cdr:y>0.5679</cdr:y>
    </cdr:to>
    <cdr:sp macro="" textlink="Ratios!$E$11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407EC62-334C-45D8-DA77-7B18B1A0ED27}"/>
            </a:ext>
          </a:extLst>
        </cdr:cNvPr>
        <cdr:cNvSpPr txBox="1"/>
      </cdr:nvSpPr>
      <cdr:spPr>
        <a:xfrm xmlns:a="http://schemas.openxmlformats.org/drawingml/2006/main">
          <a:off x="2286000" y="8382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l"/>
          <a:fld id="{E42C167A-DF83-486E-9537-86B445B4E7BA}" type="TxLink">
            <a:rPr lang="en-US" sz="2000" b="1" i="0" u="none" strike="noStrike" kern="1200">
              <a:solidFill>
                <a:srgbClr val="000000"/>
              </a:solidFill>
              <a:latin typeface="Calibri"/>
              <a:cs typeface="Calibri"/>
            </a:rPr>
            <a:pPr algn="l"/>
            <a:t>-2.61</a:t>
          </a:fld>
          <a:endParaRPr lang="en-IN" sz="2000" b="1" kern="1200"/>
        </a:p>
      </cdr:txBody>
    </cdr:sp>
  </cdr:relSizeAnchor>
  <cdr:relSizeAnchor xmlns:cdr="http://schemas.openxmlformats.org/drawingml/2006/chartDrawing">
    <cdr:from>
      <cdr:x>0.64353</cdr:x>
      <cdr:y>0.38272</cdr:y>
    </cdr:from>
    <cdr:to>
      <cdr:x>0.82965</cdr:x>
      <cdr:y>0.70988</cdr:y>
    </cdr:to>
    <cdr:sp macro="" textlink="Ratios!$F$11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E097D685-7B85-133C-3C5D-A2D7D737DC03}"/>
            </a:ext>
          </a:extLst>
        </cdr:cNvPr>
        <cdr:cNvSpPr txBox="1"/>
      </cdr:nvSpPr>
      <cdr:spPr>
        <a:xfrm xmlns:a="http://schemas.openxmlformats.org/drawingml/2006/main">
          <a:off x="3886200" y="1181100"/>
          <a:ext cx="1123950" cy="1009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l"/>
          <a:fld id="{199046C8-914A-4CDE-AE6D-B85A41F1A9A0}" type="TxLink">
            <a:rPr lang="en-US" sz="2000" b="1" i="0" u="none" strike="noStrike" kern="1200">
              <a:solidFill>
                <a:srgbClr val="000000"/>
              </a:solidFill>
              <a:latin typeface="Calibri"/>
              <a:cs typeface="Calibri"/>
            </a:rPr>
            <a:pPr algn="l"/>
            <a:t>-1.68</a:t>
          </a:fld>
          <a:endParaRPr lang="en-IN" sz="2000" b="1" kern="1200"/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0.38028</cdr:x>
      <cdr:y>0.22699</cdr:y>
    </cdr:from>
    <cdr:to>
      <cdr:x>0.52394</cdr:x>
      <cdr:y>0.57055</cdr:y>
    </cdr:to>
    <cdr:sp macro="" textlink="Ratios!$E$12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6974C63-53C7-0613-1F2D-046A7224E4B9}"/>
            </a:ext>
          </a:extLst>
        </cdr:cNvPr>
        <cdr:cNvSpPr txBox="1"/>
      </cdr:nvSpPr>
      <cdr:spPr>
        <a:xfrm xmlns:a="http://schemas.openxmlformats.org/drawingml/2006/main">
          <a:off x="2571750" y="704850"/>
          <a:ext cx="971550" cy="1066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l"/>
          <a:fld id="{F8A1B68D-B5C3-4795-9DDC-029428B09765}" type="TxLink">
            <a:rPr lang="en-US" sz="2000" b="1" i="0" u="none" strike="noStrike" kern="1200">
              <a:solidFill>
                <a:srgbClr val="000000"/>
              </a:solidFill>
              <a:latin typeface="Calibri"/>
              <a:cs typeface="Calibri"/>
            </a:rPr>
            <a:pPr algn="l"/>
            <a:t>-0.23</a:t>
          </a:fld>
          <a:endParaRPr lang="en-IN" sz="2000" b="1" kern="1200"/>
        </a:p>
      </cdr:txBody>
    </cdr:sp>
  </cdr:relSizeAnchor>
  <cdr:relSizeAnchor xmlns:cdr="http://schemas.openxmlformats.org/drawingml/2006/chartDrawing">
    <cdr:from>
      <cdr:x>0.69296</cdr:x>
      <cdr:y>0.38037</cdr:y>
    </cdr:from>
    <cdr:to>
      <cdr:x>0.82817</cdr:x>
      <cdr:y>0.66258</cdr:y>
    </cdr:to>
    <cdr:sp macro="" textlink="Ratios!$F$12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7B62506-D5FD-60CF-0B30-E0442AFDFCE1}"/>
            </a:ext>
          </a:extLst>
        </cdr:cNvPr>
        <cdr:cNvSpPr txBox="1"/>
      </cdr:nvSpPr>
      <cdr:spPr>
        <a:xfrm xmlns:a="http://schemas.openxmlformats.org/drawingml/2006/main">
          <a:off x="4686300" y="1181100"/>
          <a:ext cx="914400" cy="8763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l"/>
          <a:fld id="{9732DDC8-17FE-411B-B10F-2E5EF541599A}" type="TxLink">
            <a:rPr lang="en-US" sz="2000" b="1" i="0" u="none" strike="noStrike" kern="1200">
              <a:solidFill>
                <a:srgbClr val="000000"/>
              </a:solidFill>
              <a:latin typeface="Calibri"/>
              <a:cs typeface="Calibri"/>
            </a:rPr>
            <a:pPr algn="l"/>
            <a:t>-0.5</a:t>
          </a:fld>
          <a:endParaRPr lang="en-IN" sz="2000" b="1" kern="1200"/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0.51594</cdr:x>
      <cdr:y>0.68682</cdr:y>
    </cdr:from>
    <cdr:to>
      <cdr:x>0.5462</cdr:x>
      <cdr:y>0.79479</cdr:y>
    </cdr:to>
    <cdr:sp macro="" textlink="#REF!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452061A-559D-5B9B-309E-C8809A0DB5B9}"/>
            </a:ext>
          </a:extLst>
        </cdr:cNvPr>
        <cdr:cNvSpPr txBox="1"/>
      </cdr:nvSpPr>
      <cdr:spPr>
        <a:xfrm xmlns:a="http://schemas.openxmlformats.org/drawingml/2006/main">
          <a:off x="11558223" y="3950325"/>
          <a:ext cx="677740" cy="62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l"/>
          <a:fld id="{A82C91C5-6994-4E9E-B065-2B03FFEBD7E2}" type="TxLink">
            <a:rPr lang="en-US" sz="2000" b="1" i="0" u="none" strike="noStrike" kern="1200">
              <a:solidFill>
                <a:srgbClr val="000000"/>
              </a:solidFill>
              <a:latin typeface="Calibri"/>
              <a:cs typeface="Calibri"/>
            </a:rPr>
            <a:pPr algn="l"/>
            <a:t>6%</a:t>
          </a:fld>
          <a:endParaRPr lang="en-IN" sz="2000" b="1" kern="1200"/>
        </a:p>
      </cdr:txBody>
    </cdr:sp>
  </cdr:relSizeAnchor>
  <cdr:relSizeAnchor xmlns:cdr="http://schemas.openxmlformats.org/drawingml/2006/chartDrawing">
    <cdr:from>
      <cdr:x>0.87402</cdr:x>
      <cdr:y>0.77618</cdr:y>
    </cdr:from>
    <cdr:to>
      <cdr:x>1</cdr:x>
      <cdr:y>0.97331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F165D48D-9E84-1C13-62EA-CF4BB15BF1C5}"/>
            </a:ext>
          </a:extLst>
        </cdr:cNvPr>
        <cdr:cNvSpPr txBox="1"/>
      </cdr:nvSpPr>
      <cdr:spPr>
        <a:xfrm xmlns:a="http://schemas.openxmlformats.org/drawingml/2006/main">
          <a:off x="6686550" y="3600449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l"/>
          <a:endParaRPr lang="en-IN" sz="1100" kern="1200"/>
        </a:p>
      </cdr:txBody>
    </cdr:sp>
  </cdr:relSizeAnchor>
  <cdr:relSizeAnchor xmlns:cdr="http://schemas.openxmlformats.org/drawingml/2006/chartDrawing">
    <cdr:from>
      <cdr:x>0.52459</cdr:x>
      <cdr:y>0.74658</cdr:y>
    </cdr:from>
    <cdr:to>
      <cdr:x>0.52544</cdr:x>
      <cdr:y>0.85168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919AA185-2107-3101-9704-B9CE48D41B94}"/>
            </a:ext>
          </a:extLst>
        </cdr:cNvPr>
        <cdr:cNvCxnSpPr/>
      </cdr:nvCxnSpPr>
      <cdr:spPr>
        <a:xfrm xmlns:a="http://schemas.openxmlformats.org/drawingml/2006/main" flipH="1">
          <a:off x="11751990" y="4294069"/>
          <a:ext cx="19002" cy="604471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95000"/>
              <a:lumOff val="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0.27423</cdr:x>
      <cdr:y>0.70255</cdr:y>
    </cdr:from>
    <cdr:to>
      <cdr:x>0.3276</cdr:x>
      <cdr:y>0.83062</cdr:y>
    </cdr:to>
    <cdr:sp macro="" textlink="FY!$B$8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FD1DB394-2541-A7FF-E211-DE4282D8C681}"/>
            </a:ext>
          </a:extLst>
        </cdr:cNvPr>
        <cdr:cNvSpPr txBox="1"/>
      </cdr:nvSpPr>
      <cdr:spPr>
        <a:xfrm xmlns:a="http://schemas.openxmlformats.org/drawingml/2006/main">
          <a:off x="5605929" y="5881024"/>
          <a:ext cx="1090995" cy="1072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l"/>
          <a:fld id="{447F8923-36B4-47CA-8C7E-96485D183796}" type="TxLink">
            <a:rPr lang="en-US" sz="2000" b="1" i="0" u="none" strike="noStrike" kern="1200">
              <a:solidFill>
                <a:srgbClr val="000000"/>
              </a:solidFill>
              <a:latin typeface="Calibri"/>
              <a:cs typeface="Calibri"/>
            </a:rPr>
            <a:pPr algn="l"/>
            <a:t>9%</a:t>
          </a:fld>
          <a:endParaRPr lang="en-IN" sz="2000" b="1" kern="1200"/>
        </a:p>
      </cdr:txBody>
    </cdr:sp>
  </cdr:relSizeAnchor>
  <cdr:relSizeAnchor xmlns:cdr="http://schemas.openxmlformats.org/drawingml/2006/chartDrawing">
    <cdr:from>
      <cdr:x>0.75997</cdr:x>
      <cdr:y>0.67834</cdr:y>
    </cdr:from>
    <cdr:to>
      <cdr:x>0.81164</cdr:x>
      <cdr:y>0.75481</cdr:y>
    </cdr:to>
    <cdr:sp macro="" textlink="FY!$D$8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5C67EAEA-A15F-D0A4-58AF-08F8F70FDEE4}"/>
            </a:ext>
          </a:extLst>
        </cdr:cNvPr>
        <cdr:cNvSpPr txBox="1"/>
      </cdr:nvSpPr>
      <cdr:spPr>
        <a:xfrm xmlns:a="http://schemas.openxmlformats.org/drawingml/2006/main">
          <a:off x="17024811" y="3901587"/>
          <a:ext cx="1157602" cy="4398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l"/>
          <a:fld id="{CC3FF83C-F556-4052-B2EC-65089BA85B95}" type="TxLink">
            <a:rPr lang="en-US" sz="2000" b="1" i="0" u="none" strike="noStrike" kern="1200">
              <a:solidFill>
                <a:srgbClr val="000000"/>
              </a:solidFill>
              <a:latin typeface="Calibri"/>
              <a:cs typeface="Calibri"/>
            </a:rPr>
            <a:pPr algn="l"/>
            <a:t>4%</a:t>
          </a:fld>
          <a:endParaRPr lang="en-IN" sz="2000" b="1" kern="1200"/>
        </a:p>
      </cdr:txBody>
    </cdr:sp>
  </cdr:relSizeAnchor>
  <cdr:relSizeAnchor xmlns:cdr="http://schemas.openxmlformats.org/drawingml/2006/chartDrawing">
    <cdr:from>
      <cdr:x>0.28136</cdr:x>
      <cdr:y>0.75329</cdr:y>
    </cdr:from>
    <cdr:to>
      <cdr:x>0.28177</cdr:x>
      <cdr:y>0.86214</cdr:y>
    </cdr:to>
    <cdr:cxnSp macro="">
      <cdr:nvCxnSpPr>
        <cdr:cNvPr id="9" name="Straight Connector 8">
          <a:extLst xmlns:a="http://schemas.openxmlformats.org/drawingml/2006/main">
            <a:ext uri="{FF2B5EF4-FFF2-40B4-BE49-F238E27FC236}">
              <a16:creationId xmlns:a16="http://schemas.microsoft.com/office/drawing/2014/main" id="{A1F77A6C-C218-5167-1209-386E60EAAE77}"/>
            </a:ext>
          </a:extLst>
        </cdr:cNvPr>
        <cdr:cNvCxnSpPr/>
      </cdr:nvCxnSpPr>
      <cdr:spPr>
        <a:xfrm xmlns:a="http://schemas.openxmlformats.org/drawingml/2006/main" flipH="1">
          <a:off x="5751635" y="6305776"/>
          <a:ext cx="8384" cy="911244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95000"/>
              <a:lumOff val="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0.7686</cdr:x>
      <cdr:y>0.74235</cdr:y>
    </cdr:from>
    <cdr:to>
      <cdr:x>0.76923</cdr:x>
      <cdr:y>0.8535</cdr:y>
    </cdr:to>
    <cdr:cxnSp macro="">
      <cdr:nvCxnSpPr>
        <cdr:cNvPr id="11" name="Straight Connector 10">
          <a:extLst xmlns:a="http://schemas.openxmlformats.org/drawingml/2006/main">
            <a:ext uri="{FF2B5EF4-FFF2-40B4-BE49-F238E27FC236}">
              <a16:creationId xmlns:a16="http://schemas.microsoft.com/office/drawing/2014/main" id="{834522C3-E234-77A6-F3E9-4DC34B23648B}"/>
            </a:ext>
          </a:extLst>
        </cdr:cNvPr>
        <cdr:cNvCxnSpPr/>
      </cdr:nvCxnSpPr>
      <cdr:spPr>
        <a:xfrm xmlns:a="http://schemas.openxmlformats.org/drawingml/2006/main" flipH="1">
          <a:off x="17218269" y="4269754"/>
          <a:ext cx="14185" cy="639285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>
              <a:lumMod val="95000"/>
              <a:lumOff val="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566C6F-6E3C-460A-B27B-D2F567CCD3C9}" name="Table1" displayName="Table1" ref="A1:E8" totalsRowShown="0" headerRowDxfId="4">
  <tableColumns count="5">
    <tableColumn id="1" xr3:uid="{A90E79B0-2780-4FD9-9F87-C1EDA994FDE2}" name="Particulars/ Years" dataDxfId="3"/>
    <tableColumn id="2" xr3:uid="{0246E995-C581-4350-BE98-B7A6A630D4E7}" name="FY 22-23" dataDxfId="2"/>
    <tableColumn id="3" xr3:uid="{45BF30B1-5B3D-4CF0-A9F1-F8690B6E240F}" name="FY 23-24 " dataDxfId="1"/>
    <tableColumn id="4" xr3:uid="{F3F62388-8A62-4630-AFE0-7133EEB66EE1}" name="FY 24-25" dataDxfId="0"/>
    <tableColumn id="5" xr3:uid="{58B1C457-61D7-4817-86AF-A3D5960763A6}" name="FY 25-2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/>
      <a:bodyPr vertOverflow="clip" wrap="none" rtlCol="0"/>
      <a:lstStyle>
        <a:defPPr algn="l">
          <a:defRPr sz="1100" kern="1200"/>
        </a:defPPr>
      </a:lst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A48"/>
  <sheetViews>
    <sheetView showGridLines="0" zoomScale="52" zoomScaleNormal="50" workbookViewId="0">
      <selection activeCell="AA50" sqref="AA50"/>
    </sheetView>
  </sheetViews>
  <sheetFormatPr defaultRowHeight="15" x14ac:dyDescent="0.25"/>
  <cols>
    <col min="1" max="1" width="18" style="3" customWidth="1"/>
    <col min="2" max="2" width="2.28515625" style="3" customWidth="1"/>
    <col min="3" max="7" width="18" style="3" customWidth="1"/>
    <col min="8" max="8" width="2.28515625" style="3" customWidth="1"/>
    <col min="9" max="13" width="18" style="3" customWidth="1"/>
    <col min="14" max="14" width="2.28515625" style="3" customWidth="1"/>
    <col min="15" max="15" width="18" style="3" customWidth="1"/>
    <col min="16" max="19" width="9.140625" style="3"/>
    <col min="20" max="20" width="2.28515625" style="3" customWidth="1"/>
    <col min="21" max="16384" width="9.140625" style="3"/>
  </cols>
  <sheetData>
    <row r="2" spans="1:27" ht="26.25" customHeight="1" x14ac:dyDescent="0.25">
      <c r="A2" s="20" t="s">
        <v>26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spans="1:27" ht="15" customHeight="1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spans="1:27" ht="26.1" customHeight="1" x14ac:dyDescent="0.25"/>
    <row r="5" spans="1:27" ht="32.1" customHeight="1" x14ac:dyDescent="0.25"/>
    <row r="6" spans="1:27" ht="32.1" customHeight="1" x14ac:dyDescent="0.25"/>
    <row r="7" spans="1:27" ht="21.95" customHeight="1" x14ac:dyDescent="0.25"/>
    <row r="8" spans="1:27" ht="21.95" customHeight="1" x14ac:dyDescent="0.45"/>
    <row r="42" spans="4:6" x14ac:dyDescent="0.25">
      <c r="D42" s="4"/>
      <c r="E42" s="4"/>
      <c r="F42" s="4"/>
    </row>
    <row r="43" spans="4:6" ht="20.100000000000001" customHeight="1" x14ac:dyDescent="0.25"/>
    <row r="44" spans="4:6" ht="27.95" customHeight="1" x14ac:dyDescent="0.25"/>
    <row r="45" spans="4:6" ht="32.1" customHeight="1" x14ac:dyDescent="0.25"/>
    <row r="46" spans="4:6" ht="32.1" customHeight="1" x14ac:dyDescent="0.25"/>
    <row r="47" spans="4:6" ht="21.95" customHeight="1" x14ac:dyDescent="0.25"/>
    <row r="48" spans="4:6" ht="21.95" customHeight="1" x14ac:dyDescent="0.25"/>
  </sheetData>
  <mergeCells count="1">
    <mergeCell ref="A2:AA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D9155-6D43-4A51-BB54-064BC051C422}">
  <dimension ref="A1:E8"/>
  <sheetViews>
    <sheetView zoomScale="130" zoomScaleNormal="130" workbookViewId="0">
      <selection activeCell="G6" sqref="G6"/>
    </sheetView>
  </sheetViews>
  <sheetFormatPr defaultRowHeight="15" x14ac:dyDescent="0.25"/>
  <cols>
    <col min="1" max="1" width="17.85546875" customWidth="1"/>
    <col min="2" max="2" width="17.42578125" style="2" customWidth="1"/>
    <col min="3" max="3" width="14.140625" style="2" bestFit="1" customWidth="1"/>
    <col min="4" max="4" width="17.42578125" style="1" customWidth="1"/>
    <col min="5" max="5" width="11.42578125" bestFit="1" customWidth="1"/>
  </cols>
  <sheetData>
    <row r="1" spans="1:5" x14ac:dyDescent="0.25">
      <c r="A1" s="16" t="s">
        <v>4</v>
      </c>
      <c r="B1" s="17" t="s">
        <v>27</v>
      </c>
      <c r="C1" s="17" t="s">
        <v>28</v>
      </c>
      <c r="D1" s="18" t="s">
        <v>29</v>
      </c>
      <c r="E1" s="19" t="s">
        <v>30</v>
      </c>
    </row>
    <row r="2" spans="1:5" x14ac:dyDescent="0.25">
      <c r="A2" s="12" t="s">
        <v>0</v>
      </c>
      <c r="B2" s="13">
        <f>ROUND(1270439/100000,1)</f>
        <v>12.7</v>
      </c>
      <c r="C2" s="13">
        <f>ROUND(5648710.15/100000,1)</f>
        <v>56.5</v>
      </c>
      <c r="D2" s="13">
        <f>ROUND(6592347.07/100000,1)</f>
        <v>65.900000000000006</v>
      </c>
      <c r="E2">
        <v>51.37</v>
      </c>
    </row>
    <row r="3" spans="1:5" x14ac:dyDescent="0.25">
      <c r="A3" s="12" t="s">
        <v>25</v>
      </c>
      <c r="B3" s="13">
        <f>ROUND(1118240.08/100000,1)</f>
        <v>11.2</v>
      </c>
      <c r="C3" s="13">
        <f>ROUND(5171375.73/100000,1)</f>
        <v>51.7</v>
      </c>
      <c r="D3" s="13">
        <f>ROUND(6187283.31/100000,1)</f>
        <v>61.9</v>
      </c>
      <c r="E3">
        <v>49.39</v>
      </c>
    </row>
    <row r="4" spans="1:5" x14ac:dyDescent="0.25">
      <c r="A4" s="12" t="s">
        <v>1</v>
      </c>
      <c r="B4" s="13">
        <f>ROUND(152198.92/100000,1)</f>
        <v>1.5</v>
      </c>
      <c r="C4" s="13">
        <f>ROUND(477334.41/100000,1)</f>
        <v>4.8</v>
      </c>
      <c r="D4" s="13">
        <f>ROUND(405063.76/100000,1)</f>
        <v>4.0999999999999996</v>
      </c>
      <c r="E4">
        <f>E2-E3</f>
        <v>1.9799999999999969</v>
      </c>
    </row>
    <row r="5" spans="1:5" x14ac:dyDescent="0.25">
      <c r="A5" s="15" t="s">
        <v>5</v>
      </c>
      <c r="B5" s="14">
        <f>B4/B2</f>
        <v>0.11811023622047245</v>
      </c>
      <c r="C5" s="14">
        <f>C4/C2</f>
        <v>8.4955752212389379E-2</v>
      </c>
      <c r="D5" s="14">
        <f>D4/D2</f>
        <v>6.2215477996965085E-2</v>
      </c>
      <c r="E5" s="14">
        <f>E4/E2</f>
        <v>3.8543897216274034E-2</v>
      </c>
    </row>
    <row r="6" spans="1:5" x14ac:dyDescent="0.25">
      <c r="A6" s="12" t="s">
        <v>2</v>
      </c>
      <c r="B6" s="13">
        <f>ROUND(42458.39/100000,1)</f>
        <v>0.4</v>
      </c>
      <c r="C6" s="13">
        <f>ROUND(136588.09/100000,1)</f>
        <v>1.4</v>
      </c>
      <c r="D6" s="13">
        <f>ROUND(118583.54/100000,1)</f>
        <v>1.2</v>
      </c>
    </row>
    <row r="7" spans="1:5" x14ac:dyDescent="0.25">
      <c r="A7" s="12" t="s">
        <v>3</v>
      </c>
      <c r="B7" s="13">
        <f>ROUND(109740.53/100000,1)</f>
        <v>1.1000000000000001</v>
      </c>
      <c r="C7" s="13">
        <f>ROUND(340746.32/100000,1)</f>
        <v>3.4</v>
      </c>
      <c r="D7" s="13">
        <f>ROUND(286480.22/100000,1)</f>
        <v>2.9</v>
      </c>
    </row>
    <row r="8" spans="1:5" x14ac:dyDescent="0.25">
      <c r="A8" s="15" t="s">
        <v>6</v>
      </c>
      <c r="B8" s="14">
        <f>B7/B2</f>
        <v>8.6614173228346469E-2</v>
      </c>
      <c r="C8" s="14">
        <f>C7/C2</f>
        <v>6.0176991150442477E-2</v>
      </c>
      <c r="D8" s="14">
        <f>D7/D2</f>
        <v>4.4006069802731404E-2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89FF7-92E0-46E0-BD3A-B385F5E83E71}">
  <dimension ref="A1:F13"/>
  <sheetViews>
    <sheetView workbookViewId="0">
      <selection activeCell="I5" sqref="I5"/>
    </sheetView>
  </sheetViews>
  <sheetFormatPr defaultRowHeight="15" x14ac:dyDescent="0.25"/>
  <cols>
    <col min="1" max="1" width="54.42578125" customWidth="1"/>
    <col min="2" max="2" width="18.42578125" customWidth="1"/>
    <col min="3" max="3" width="18.140625" customWidth="1"/>
    <col min="4" max="5" width="18.42578125" customWidth="1"/>
    <col min="6" max="6" width="18.28515625" customWidth="1"/>
    <col min="7" max="7" width="9.140625" customWidth="1"/>
  </cols>
  <sheetData>
    <row r="1" spans="1:6" x14ac:dyDescent="0.25">
      <c r="A1" s="23" t="s">
        <v>10</v>
      </c>
      <c r="B1" s="23" t="s">
        <v>21</v>
      </c>
      <c r="C1" s="23" t="s">
        <v>20</v>
      </c>
      <c r="D1" s="23" t="s">
        <v>19</v>
      </c>
      <c r="E1" s="23" t="s">
        <v>23</v>
      </c>
      <c r="F1" s="21" t="s">
        <v>24</v>
      </c>
    </row>
    <row r="2" spans="1:6" x14ac:dyDescent="0.25">
      <c r="A2" s="24"/>
      <c r="B2" s="24"/>
      <c r="C2" s="24"/>
      <c r="D2" s="24"/>
      <c r="E2" s="24"/>
      <c r="F2" s="22"/>
    </row>
    <row r="3" spans="1:6" ht="23.25" x14ac:dyDescent="0.35">
      <c r="A3" s="8" t="s">
        <v>7</v>
      </c>
      <c r="B3" s="9">
        <v>1.27</v>
      </c>
      <c r="C3" s="9">
        <v>0.92</v>
      </c>
      <c r="D3" s="9">
        <v>1.18</v>
      </c>
      <c r="E3" s="9">
        <f>C3-B3</f>
        <v>-0.35</v>
      </c>
      <c r="F3" s="10">
        <f>ROUND(D3-C3,2)</f>
        <v>0.26</v>
      </c>
    </row>
    <row r="4" spans="1:6" ht="23.25" x14ac:dyDescent="0.35">
      <c r="A4" s="8" t="s">
        <v>8</v>
      </c>
      <c r="B4" s="9">
        <v>0.04</v>
      </c>
      <c r="C4" s="9">
        <v>0.01</v>
      </c>
      <c r="D4" s="9">
        <v>0.01</v>
      </c>
      <c r="E4" s="9">
        <f>C4-B4</f>
        <v>-0.03</v>
      </c>
      <c r="F4" s="10">
        <f>D4-C4</f>
        <v>0</v>
      </c>
    </row>
    <row r="5" spans="1:6" ht="23.25" x14ac:dyDescent="0.35">
      <c r="A5" s="8" t="s">
        <v>9</v>
      </c>
      <c r="B5" s="11">
        <v>178.64</v>
      </c>
      <c r="C5" s="9">
        <v>15.06</v>
      </c>
      <c r="D5" s="9">
        <v>12.49</v>
      </c>
      <c r="E5" s="9">
        <f>ROUND(C5-B5,2)</f>
        <v>-163.58000000000001</v>
      </c>
      <c r="F5" s="10">
        <f>ROUND(D5-C5,2)</f>
        <v>-2.57</v>
      </c>
    </row>
    <row r="6" spans="1:6" ht="23.25" x14ac:dyDescent="0.35">
      <c r="A6" s="8" t="s">
        <v>11</v>
      </c>
      <c r="B6" s="9">
        <v>1.83</v>
      </c>
      <c r="C6" s="9">
        <v>1.17</v>
      </c>
      <c r="D6" s="9">
        <v>0.47</v>
      </c>
      <c r="E6" s="9">
        <f t="shared" ref="E6:E12" si="0">C6-B6</f>
        <v>-0.66000000000000014</v>
      </c>
      <c r="F6" s="10">
        <f t="shared" ref="F6:F12" si="1">ROUND(D6-C6,2)</f>
        <v>-0.7</v>
      </c>
    </row>
    <row r="7" spans="1:6" ht="23.25" x14ac:dyDescent="0.35">
      <c r="A7" s="8" t="s">
        <v>12</v>
      </c>
      <c r="B7" s="9">
        <v>24.98</v>
      </c>
      <c r="C7" s="9">
        <v>23</v>
      </c>
      <c r="D7" s="9">
        <v>12.68</v>
      </c>
      <c r="E7" s="9">
        <f t="shared" si="0"/>
        <v>-1.9800000000000004</v>
      </c>
      <c r="F7" s="10">
        <f t="shared" si="1"/>
        <v>-10.32</v>
      </c>
    </row>
    <row r="8" spans="1:6" ht="23.25" x14ac:dyDescent="0.35">
      <c r="A8" s="8" t="s">
        <v>18</v>
      </c>
      <c r="B8" s="9">
        <v>10</v>
      </c>
      <c r="C8" s="9">
        <v>8.06</v>
      </c>
      <c r="D8" s="9">
        <v>3.45</v>
      </c>
      <c r="E8" s="9">
        <f t="shared" si="0"/>
        <v>-1.9399999999999995</v>
      </c>
      <c r="F8" s="10">
        <f t="shared" si="1"/>
        <v>-4.6100000000000003</v>
      </c>
    </row>
    <row r="9" spans="1:6" ht="23.25" x14ac:dyDescent="0.35">
      <c r="A9" s="8" t="s">
        <v>13</v>
      </c>
      <c r="B9" s="9">
        <v>9.76</v>
      </c>
      <c r="C9" s="9">
        <v>2.98</v>
      </c>
      <c r="D9" s="9">
        <v>1.4</v>
      </c>
      <c r="E9" s="9">
        <f t="shared" si="0"/>
        <v>-6.7799999999999994</v>
      </c>
      <c r="F9" s="10">
        <f t="shared" si="1"/>
        <v>-1.58</v>
      </c>
    </row>
    <row r="10" spans="1:6" ht="23.25" x14ac:dyDescent="0.35">
      <c r="A10" s="8" t="s">
        <v>17</v>
      </c>
      <c r="B10" s="9">
        <v>16.46</v>
      </c>
      <c r="C10" s="9">
        <v>-41.12</v>
      </c>
      <c r="D10" s="9">
        <v>12.08</v>
      </c>
      <c r="E10" s="9">
        <f t="shared" si="0"/>
        <v>-57.58</v>
      </c>
      <c r="F10" s="10">
        <f t="shared" si="1"/>
        <v>53.2</v>
      </c>
    </row>
    <row r="11" spans="1:6" ht="23.25" x14ac:dyDescent="0.35">
      <c r="A11" s="8" t="s">
        <v>14</v>
      </c>
      <c r="B11" s="9">
        <v>8.64</v>
      </c>
      <c r="C11" s="9">
        <v>6.03</v>
      </c>
      <c r="D11" s="9">
        <v>4.3499999999999996</v>
      </c>
      <c r="E11" s="9">
        <f t="shared" si="0"/>
        <v>-2.6100000000000003</v>
      </c>
      <c r="F11" s="10">
        <f t="shared" si="1"/>
        <v>-1.68</v>
      </c>
    </row>
    <row r="12" spans="1:6" ht="23.25" x14ac:dyDescent="0.35">
      <c r="A12" s="8" t="s">
        <v>15</v>
      </c>
      <c r="B12" s="9">
        <v>1.27</v>
      </c>
      <c r="C12" s="9">
        <v>1.04</v>
      </c>
      <c r="D12" s="9">
        <v>0.54</v>
      </c>
      <c r="E12" s="9">
        <f t="shared" si="0"/>
        <v>-0.22999999999999998</v>
      </c>
      <c r="F12" s="10">
        <f t="shared" si="1"/>
        <v>-0.5</v>
      </c>
    </row>
    <row r="13" spans="1:6" ht="23.25" x14ac:dyDescent="0.35">
      <c r="A13" s="7" t="s">
        <v>16</v>
      </c>
      <c r="B13" s="5" t="s">
        <v>22</v>
      </c>
      <c r="C13" s="5" t="s">
        <v>22</v>
      </c>
      <c r="D13" s="5" t="s">
        <v>22</v>
      </c>
      <c r="E13" s="5" t="s">
        <v>22</v>
      </c>
      <c r="F13" s="6" t="s">
        <v>22</v>
      </c>
    </row>
  </sheetData>
  <mergeCells count="6">
    <mergeCell ref="F1:F2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0486D-2FCB-47E1-BBAE-B5F84F3C2CF5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FY</vt:lpstr>
      <vt:lpstr>Ratios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MEENAKSHI</cp:lastModifiedBy>
  <dcterms:created xsi:type="dcterms:W3CDTF">2026-04-18T11:30:23Z</dcterms:created>
  <dcterms:modified xsi:type="dcterms:W3CDTF">2026-04-24T12:20:53Z</dcterms:modified>
</cp:coreProperties>
</file>